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Excel Project\"/>
    </mc:Choice>
  </mc:AlternateContent>
  <xr:revisionPtr revIDLastSave="0" documentId="13_ncr:1_{91CC4B58-5F1E-46F1-BFDE-5B14A1F523FE}" xr6:coauthVersionLast="47" xr6:coauthVersionMax="47" xr10:uidLastSave="{00000000-0000-0000-0000-000000000000}"/>
  <bookViews>
    <workbookView showHorizontalScroll="0" showVerticalScroll="0" showSheetTabs="0" xWindow="28680" yWindow="-120" windowWidth="29040" windowHeight="16440" activeTab="1" xr2:uid="{00000000-000D-0000-FFFF-FFFF00000000}"/>
  </bookViews>
  <sheets>
    <sheet name="Total Sales" sheetId="18" r:id="rId1"/>
    <sheet name="Dashboard" sheetId="21" r:id="rId2"/>
    <sheet name="Country Bar Chart" sheetId="19" r:id="rId3"/>
    <sheet name="Top 5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F2" i="17"/>
  <c r="K2" i="17"/>
  <c r="J6" i="17"/>
  <c r="O6" i="17" s="1"/>
  <c r="I2" i="17"/>
  <c r="N2" i="17" s="1"/>
  <c r="I3" i="17"/>
  <c r="N3" i="17" s="1"/>
  <c r="J3" i="17"/>
  <c r="O3" i="17" s="1"/>
  <c r="K3" i="17"/>
  <c r="L3" i="17"/>
  <c r="M3" i="17" s="1"/>
  <c r="I4" i="17"/>
  <c r="N4" i="17" s="1"/>
  <c r="J4" i="17"/>
  <c r="O4" i="17" s="1"/>
  <c r="K4" i="17"/>
  <c r="L4" i="17"/>
  <c r="M4" i="17" s="1"/>
  <c r="I5" i="17"/>
  <c r="N5" i="17" s="1"/>
  <c r="J5" i="17"/>
  <c r="O5" i="17" s="1"/>
  <c r="K5" i="17"/>
  <c r="L5" i="17"/>
  <c r="M5" i="17" s="1"/>
  <c r="I6" i="17"/>
  <c r="N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<sst xmlns="http://schemas.openxmlformats.org/spreadsheetml/2006/main" count="11103" uniqueCount="6219">
  <si>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</si>
  <si>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</si>
  <si>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</si>
  <si>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</si>
  <si>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</si>
  <si>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</si>
  <si>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</si>
  <si>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</si>
  <si>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</si>
  <si>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</si>
  <si>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</si>
  <si>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</si>
  <si>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</si>
  <si>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</si>
  <si>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</si>
  <si>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</si>
  <si>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</si>
  <si>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</si>
  <si>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</si>
  <si>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</si>
  <si>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</si>
  <si>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</si>
  <si>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</si>
  <si>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</si>
  <si>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</si>
  <si>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</si>
  <si>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</si>
  <si>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</si>
  <si>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</si>
  <si>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</si>
  <si>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</si>
  <si>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</si>
  <si>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</si>
  <si>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</si>
  <si>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</si>
  <si>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</si>
  <si>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</si>
  <si>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</si>
  <si>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</si>
  <si>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</si>
  <si>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</si>
  <si>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</si>
  <si>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</si>
  <si>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</si>
  <si>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</si>
  <si>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</si>
  <si>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</si>
  <si>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</si>
  <si>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</si>
  <si>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</si>
  <si>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</si>
  <si>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</si>
  <si>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</si>
  <si>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</si>
  <si>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</si>
  <si>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</si>
  <si>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</si>
  <si>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</si>
  <si>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</si>
  <si>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</si>
  <si>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</si>
  <si>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</si>
  <si>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</si>
  <si>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</si>
  <si>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</si>
  <si>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</si>
  <si>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</si>
  <si>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</si>
  <si>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</si>
  <si>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</si>
  <si>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</si>
  <si>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</si>
  <si>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</si>
  <si>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</si>
  <si>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</si>
  <si>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</si>
  <si>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</si>
  <si>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</si>
  <si>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</si>
  <si>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</si>
  <si>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</si>
  <si>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</si>
  <si>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</si>
  <si>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</si>
  <si>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</si>
  <si>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</si>
  <si>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</si>
  <si>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</si>
  <si>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</si>
  <si>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</si>
  <si>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</si>
  <si>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</si>
  <si>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</si>
  <si>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</si>
  <si>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</si>
  <si>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</si>
  <si>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</si>
  <si>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</si>
  <si>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</si>
  <si>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</si>
  <si>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</si>
  <si>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</si>
  <si>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</si>
  <si>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</si>
  <si>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</si>
  <si>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</si>
  <si>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</si>
  <si>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</si>
  <si>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</si>
  <si>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</si>
  <si>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</si>
  <si>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</si>
  <si>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</si>
  <si>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</si>
  <si>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</si>
  <si>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</si>
  <si>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</si>
  <si>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</si>
  <si>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</si>
  <si>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</si>
  <si>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</si>
  <si>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</si>
  <si>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</si>
  <si>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</si>
  <si>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</si>
  <si>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</si>
  <si>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</si>
  <si>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</si>
  <si>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</si>
  <si>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</si>
  <si>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</si>
  <si>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</si>
  <si>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</si>
  <si>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</si>
  <si>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</si>
  <si>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</si>
  <si>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</si>
  <si>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</si>
  <si>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</si>
  <si>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</si>
  <si>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</si>
  <si>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</si>
  <si>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</si>
  <si>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</si>
  <si>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</si>
  <si>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</si>
  <si>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</si>
  <si>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</si>
  <si>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</si>
  <si>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</si>
  <si>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</si>
  <si>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</si>
  <si>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</si>
  <si>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</si>
  <si>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</si>
  <si>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</si>
  <si>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</si>
  <si>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</si>
  <si>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</si>
  <si>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</si>
  <si>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</si>
  <si>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</si>
  <si>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</si>
  <si>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</si>
  <si>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</si>
  <si>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</si>
  <si>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</si>
  <si>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</si>
  <si>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</si>
  <si>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</si>
  <si>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</si>
  <si>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</si>
  <si>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</si>
  <si>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</si>
  <si>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</si>
  <si>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</si>
  <si>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</si>
  <si>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</si>
  <si>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</si>
  <si>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</si>
  <si>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</si>
  <si>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</si>
  <si>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</si>
  <si>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</si>
  <si>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</si>
  <si>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</si>
  <si>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</si>
  <si>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</si>
  <si>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</si>
  <si>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</si>
  <si>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</si>
  <si>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</si>
  <si>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</si>
  <si>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</si>
  <si>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</si>
  <si>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</si>
  <si>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</si>
  <si>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</si>
  <si>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</si>
  <si>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</si>
  <si>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</si>
  <si>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</si>
  <si>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</si>
  <si>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</si>
  <si>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</si>
  <si>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</si>
  <si>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</si>
  <si>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</si>
  <si>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</si>
  <si>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</si>
  <si>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</si>
  <si>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</si>
  <si>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</si>
  <si>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</si>
  <si>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</si>
  <si>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</si>
  <si>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</si>
  <si>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</si>
  <si>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</si>
  <si>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</si>
  <si>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</si>
  <si>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</si>
  <si>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</si>
  <si>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</si>
  <si>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</si>
  <si>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</si>
  <si>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</si>
  <si>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</si>
  <si>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</si>
  <si>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</si>
  <si>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</si>
  <si>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</si>
  <si>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</si>
  <si>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</si>
  <si>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</si>
  <si>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</si>
  <si>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</si>
  <si>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</si>
  <si>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</si>
  <si>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</si>
  <si>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</si>
  <si>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</si>
  <si>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</si>
  <si>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</si>
  <si>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</si>
  <si>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</si>
  <si>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</si>
  <si>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</si>
  <si>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</si>
  <si>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</si>
  <si>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</si>
  <si>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</si>
  <si>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</si>
  <si>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</si>
  <si>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</si>
  <si>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</si>
  <si>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</si>
  <si>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</si>
  <si>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</si>
  <si>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</si>
  <si>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</si>
  <si>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</si>
  <si>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</si>
  <si>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</si>
  <si>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</si>
  <si>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</si>
  <si>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</si>
  <si>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</si>
  <si>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</si>
  <si>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</si>
  <si>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</si>
  <si>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</si>
  <si>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</si>
  <si>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</si>
  <si>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</si>
  <si>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</si>
  <si>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</si>
  <si>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</si>
  <si>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</si>
  <si>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</si>
  <si>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</si>
  <si>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</si>
  <si>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</si>
  <si>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</si>
  <si>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</si>
  <si>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</si>
  <si>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</si>
  <si>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</si>
  <si>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</si>
  <si>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</si>
  <si>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</si>
  <si>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</si>
  <si>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</si>
  <si>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</si>
  <si>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</si>
  <si>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</si>
  <si>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</si>
  <si>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</si>
  <si>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</si>
  <si>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</si>
  <si>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</si>
  <si>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</si>
  <si>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</si>
  <si>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</si>
  <si>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</si>
  <si>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</si>
  <si>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</si>
  <si>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</si>
  <si>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</si>
  <si>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</si>
  <si>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</si>
  <si>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</si>
  <si>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</si>
  <si>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</si>
  <si>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</si>
  <si>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</si>
  <si>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</si>
  <si>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</si>
  <si>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</si>
  <si>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</si>
  <si>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</si>
  <si>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</si>
  <si>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</si>
  <si>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</si>
  <si>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</si>
  <si>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</si>
  <si>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</si>
  <si>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</si>
  <si>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</si>
  <si>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</si>
  <si>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</si>
  <si>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</si>
  <si>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</si>
  <si>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</si>
  <si>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</si>
  <si>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</si>
  <si>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</si>
  <si>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</si>
  <si>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</si>
  <si>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</si>
  <si>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</si>
  <si>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</si>
  <si>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</si>
  <si>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</si>
  <si>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</si>
  <si>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</si>
  <si>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</si>
  <si>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</si>
  <si>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</si>
  <si>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</si>
  <si>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</si>
  <si>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</si>
  <si>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</si>
  <si>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</si>
  <si>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</si>
  <si>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</si>
  <si>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</si>
  <si>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</si>
  <si>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</si>
  <si>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</si>
  <si>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</si>
  <si>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</si>
  <si>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</si>
  <si>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</si>
  <si>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</si>
  <si>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</si>
  <si>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</si>
  <si>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</si>
  <si>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</si>
  <si>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</si>
  <si>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</si>
  <si>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</si>
  <si>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</si>
  <si>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</si>
  <si>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</si>
  <si>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</si>
  <si>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</si>
  <si>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</si>
  <si>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</si>
  <si>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</si>
  <si>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</si>
  <si>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</si>
  <si>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</si>
  <si>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</si>
  <si>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</si>
  <si>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</si>
  <si>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</si>
  <si>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</si>
  <si>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</si>
  <si>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</si>
  <si>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</si>
  <si>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</si>
  <si>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</si>
  <si>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</si>
  <si>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</si>
  <si>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</si>
  <si>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</si>
  <si>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</si>
  <si>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</si>
  <si>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</si>
  <si>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</si>
  <si>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</si>
  <si>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</si>
  <si>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</si>
  <si>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</si>
  <si>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</si>
  <si>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</si>
  <si>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</si>
  <si>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</si>
  <si>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</si>
  <si>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</si>
  <si>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</si>
  <si>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</si>
  <si>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</si>
  <si>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</si>
  <si>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</si>
  <si>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</si>
  <si>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</si>
  <si>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</si>
  <si>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</si>
  <si>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</si>
  <si>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</si>
  <si>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</si>
  <si>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</si>
  <si>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</si>
  <si>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</si>
  <si>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</si>
  <si>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</si>
  <si>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</si>
  <si>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</si>
  <si>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</si>
  <si>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</si>
  <si>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</si>
  <si>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</si>
  <si>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</si>
  <si>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</si>
  <si>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</si>
  <si>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</si>
  <si>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</si>
  <si>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</si>
  <si>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</si>
  <si>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</si>
  <si>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</si>
  <si>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</si>
  <si>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</si>
  <si>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</si>
  <si>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</si>
  <si>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</si>
  <si>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</si>
  <si>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</si>
  <si>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</si>
  <si>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</si>
  <si>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</si>
  <si>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</si>
  <si>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</si>
  <si>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</si>
  <si>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</si>
  <si>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</si>
  <si>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</si>
  <si>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</si>
  <si>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</si>
  <si>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</si>
  <si>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</si>
  <si>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</si>
  <si>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</si>
  <si>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</si>
  <si>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</si>
  <si>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</si>
  <si>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</si>
  <si>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</si>
  <si>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</si>
  <si>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</si>
  <si>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</si>
  <si>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</si>
  <si>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</si>
  <si>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</si>
  <si>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</si>
  <si>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</si>
  <si>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</si>
  <si>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</si>
  <si>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</si>
  <si>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</si>
  <si>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</si>
  <si>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</si>
  <si>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</si>
  <si>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</si>
  <si>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</si>
  <si>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</si>
  <si>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</si>
  <si>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</si>
  <si>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</si>
  <si>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</si>
  <si>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</si>
  <si>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</si>
  <si>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</si>
  <si>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</si>
  <si>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</si>
  <si>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</si>
  <si>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</si>
  <si>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</si>
  <si>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</si>
  <si>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</si>
  <si>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</si>
  <si>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</si>
  <si>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</si>
  <si>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</si>
  <si>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</si>
  <si>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</si>
  <si>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</si>
  <si>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</si>
  <si>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</si>
  <si>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</si>
  <si>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</si>
  <si>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</si>
  <si>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</si>
  <si>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</si>
  <si>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</si>
  <si>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</si>
  <si>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</si>
  <si>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</si>
  <si>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</si>
  <si>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</si>
  <si>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</si>
  <si>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</si>
  <si>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</si>
  <si>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</si>
  <si>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</si>
  <si>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</si>
  <si>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</si>
  <si>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</si>
  <si>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</si>
  <si>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</si>
  <si>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</si>
  <si>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</si>
  <si>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</si>
  <si>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</si>
  <si>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</si>
  <si>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</si>
  <si>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</si>
  <si>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</si>
  <si>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</si>
  <si>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</si>
  <si>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</si>
  <si>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</si>
  <si>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</si>
  <si>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</si>
  <si>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</si>
  <si>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</si>
  <si>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</si>
  <si>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</si>
  <si>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</si>
  <si>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</si>
  <si>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</si>
  <si>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</si>
  <si>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</si>
  <si>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</si>
  <si>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</si>
  <si>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</si>
  <si>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</si>
  <si>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</si>
  <si>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</si>
  <si>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</si>
  <si>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</si>
  <si>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</si>
  <si>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</si>
  <si>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</si>
  <si>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</si>
  <si>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</si>
  <si>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</si>
  <si>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</si>
  <si>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</si>
  <si>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</si>
  <si>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</si>
  <si>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</si>
  <si>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</si>
  <si>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</si>
  <si>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</si>
  <si>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</si>
  <si>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</si>
  <si>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</si>
  <si>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</si>
  <si>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</si>
  <si>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</si>
  <si>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</si>
  <si>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</si>
  <si>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</si>
  <si>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</si>
  <si>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</si>
  <si>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</si>
  <si>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</si>
  <si>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</si>
  <si>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</si>
  <si>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</si>
  <si>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</si>
  <si>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</si>
  <si>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</si>
  <si>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</si>
  <si>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</si>
  <si>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</si>
  <si>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</si>
  <si>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</si>
  <si>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</si>
  <si>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</si>
  <si>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</si>
  <si>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</si>
  <si>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</si>
  <si>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</si>
  <si>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</si>
  <si>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</si>
  <si>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</si>
  <si>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</si>
  <si>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</si>
  <si>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</si>
  <si>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</si>
  <si>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</si>
  <si>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</si>
  <si>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</si>
  <si>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</si>
  <si>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</si>
  <si>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</si>
  <si>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</si>
  <si>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</si>
  <si>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</si>
  <si>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</si>
  <si>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</si>
  <si>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</si>
  <si>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</si>
  <si>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</si>
  <si>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</si>
  <si>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</si>
  <si>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</si>
  <si>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</si>
  <si>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</si>
  <si>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</si>
  <si>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</si>
  <si>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</si>
  <si>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</si>
  <si>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</si>
  <si>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</si>
  <si>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</si>
  <si>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</si>
  <si>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</si>
  <si>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</si>
  <si>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</si>
  <si>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</si>
  <si>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</si>
  <si>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</si>
  <si>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</si>
  <si>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</si>
  <si>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</si>
  <si>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</si>
  <si>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</si>
  <si>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</si>
  <si>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</si>
  <si>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</si>
  <si>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</si>
  <si>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</si>
  <si>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</si>
  <si>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</si>
  <si>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</si>
  <si>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</si>
  <si>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</si>
  <si>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</si>
  <si>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</si>
  <si>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</si>
  <si>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</si>
  <si>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</si>
  <si>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</si>
  <si>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</si>
  <si>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</si>
  <si>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</si>
  <si>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</si>
  <si>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</si>
  <si>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</si>
  <si>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</si>
  <si>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</si>
  <si>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</si>
  <si>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</si>
  <si>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</si>
  <si>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</si>
  <si>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</si>
  <si>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</si>
  <si>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</si>
  <si>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</si>
  <si>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</si>
  <si>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</si>
  <si>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</si>
  <si>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</si>
  <si>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</si>
  <si>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</si>
  <si>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</si>
  <si>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</si>
  <si>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</si>
  <si>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</si>
  <si>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</si>
  <si>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</si>
  <si>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</si>
  <si>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</si>
  <si>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</si>
  <si>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</si>
  <si>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</si>
  <si>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</si>
  <si>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</si>
  <si>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</si>
  <si>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</si>
  <si>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</si>
  <si>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</si>
  <si>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</si>
  <si>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</si>
  <si>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</si>
  <si>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</si>
  <si>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</si>
  <si>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</si>
  <si>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</si>
  <si>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</si>
  <si>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</si>
  <si>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</si>
  <si>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</si>
  <si>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</si>
  <si>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</si>
  <si>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</si>
  <si>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</si>
  <si>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</si>
  <si>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</si>
  <si>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</si>
  <si>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</si>
  <si>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</si>
  <si>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</si>
  <si>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</si>
  <si>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</si>
  <si>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</si>
  <si>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</si>
  <si>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</si>
  <si>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</si>
  <si>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</si>
  <si>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</si>
  <si>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</si>
  <si>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</si>
  <si>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</si>
  <si>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</si>
  <si>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</si>
  <si>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</si>
  <si>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</si>
  <si>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</si>
  <si>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</si>
  <si>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</si>
  <si>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</si>
  <si>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</si>
  <si>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</si>
  <si>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</si>
  <si>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</si>
  <si>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</si>
  <si>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</si>
  <si>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</si>
  <si>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</si>
  <si>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</si>
  <si>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</si>
  <si>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</si>
  <si>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</si>
  <si>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</si>
  <si>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</si>
  <si>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</si>
  <si>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</si>
  <si>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</si>
  <si>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</si>
  <si>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</si>
  <si>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</si>
  <si>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</si>
  <si>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</si>
  <si>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</si>
  <si>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</si>
  <si>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</si>
  <si>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</si>
  <si>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</si>
  <si>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</si>
  <si>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</si>
  <si>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</si>
  <si>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</si>
  <si>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</si>
  <si>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</si>
  <si>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</si>
  <si>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</si>
  <si>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</si>
  <si>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</si>
  <si>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</si>
  <si>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</si>
  <si>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</si>
  <si>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</si>
  <si>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</si>
  <si>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</si>
  <si>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</si>
  <si>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</si>
  <si>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</si>
  <si>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</si>
  <si>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</si>
  <si>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</si>
  <si>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</si>
  <si>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</si>
  <si>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</si>
  <si>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</si>
  <si>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</si>
  <si>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</si>
  <si>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</si>
  <si>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</si>
  <si>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</si>
  <si>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</si>
  <si>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</si>
  <si>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</si>
  <si>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</si>
  <si>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</si>
  <si>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</si>
  <si>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</si>
  <si>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</si>
  <si>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</si>
  <si>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</si>
  <si>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</si>
  <si>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</si>
  <si>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</si>
  <si>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</si>
  <si>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</si>
  <si>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</si>
  <si>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</si>
  <si>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</si>
  <si>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</si>
  <si>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</si>
  <si>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</si>
  <si>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</si>
  <si>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</si>
  <si>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</si>
  <si>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</si>
  <si>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</si>
  <si>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</si>
  <si>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</si>
  <si>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</si>
  <si>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</si>
  <si>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</si>
  <si>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</si>
  <si>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</si>
  <si>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</si>
  <si>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</si>
  <si>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</si>
  <si>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</si>
  <si>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</si>
  <si>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</si>
  <si>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</si>
  <si>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</si>
  <si>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</si>
  <si>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</si>
  <si>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</si>
  <si>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</si>
  <si>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</si>
  <si>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</si>
  <si>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</si>
  <si>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</si>
  <si>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</si>
  <si>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</si>
  <si>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</si>
  <si>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</si>
  <si>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</si>
  <si>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</si>
  <si>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</si>
  <si>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</si>
  <si>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</si>
  <si>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</si>
  <si>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</si>
  <si>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</si>
  <si>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</si>
  <si>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</si>
  <si>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</si>
  <si>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</si>
  <si>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</si>
  <si>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</si>
  <si>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</si>
  <si>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</si>
  <si>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</si>
  <si>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</si>
  <si>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</si>
  <si>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</si>
  <si>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</si>
  <si>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</si>
  <si>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</si>
  <si>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</si>
  <si>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</si>
  <si>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</si>
  <si>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</si>
  <si>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</si>
  <si>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</si>
  <si>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</si>
  <si>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</si>
  <si>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</si>
  <si>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</si>
  <si>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</si>
  <si>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</si>
  <si>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</si>
  <si>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</si>
  <si>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</si>
  <si>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</si>
  <si>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</si>
  <si>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</si>
  <si>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</si>
  <si>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</si>
  <si>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</si>
  <si>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</si>
  <si>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</si>
  <si>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</si>
  <si>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</si>
  <si>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</si>
  <si>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</si>
  <si>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</si>
  <si>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</si>
  <si>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</si>
  <si>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</si>
  <si>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</si>
  <si>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</si>
  <si>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</si>
  <si>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</si>
  <si>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</si>
  <si>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</si>
  <si>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</si>
  <si>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</si>
  <si>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</si>
  <si>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</si>
  <si>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</si>
  <si>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</si>
  <si>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</si>
  <si>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</si>
  <si>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</si>
  <si>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</si>
  <si>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</si>
  <si>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</si>
  <si>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</si>
  <si>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</si>
  <si>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</si>
  <si>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</si>
  <si>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</si>
  <si>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</si>
  <si>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</si>
  <si>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</si>
  <si>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</si>
  <si>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</si>
  <si>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</si>
  <si>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</si>
  <si>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</si>
  <si>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</si>
  <si>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</si>
  <si>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</si>
  <si>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</si>
  <si>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</si>
  <si>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</si>
  <si>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</si>
  <si>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</si>
  <si>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</si>
  <si>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</si>
  <si>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</si>
  <si>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</si>
  <si>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</si>
  <si>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</si>
  <si>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</si>
  <si>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</si>
  <si>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</si>
  <si>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</si>
  <si>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</si>
  <si>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</si>
  <si>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</si>
  <si>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</si>
  <si>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</si>
  <si>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</si>
  <si>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</si>
  <si>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</si>
  <si>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</si>
  <si>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</si>
  <si>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</si>
  <si>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</si>
  <si>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</si>
  <si>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</si>
  <si>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</si>
  <si>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</si>
  <si>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</si>
  <si>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</si>
  <si>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</si>
  <si>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</si>
  <si>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</si>
  <si>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</si>
  <si>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</si>
  <si>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</si>
  <si>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</si>
  <si>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</si>
  <si>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</si>
  <si>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</si>
  <si>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</si>
  <si>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</si>
  <si>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</si>
  <si>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</si>
  <si>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</si>
  <si>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</si>
  <si>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</si>
  <si>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</si>
  <si>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</si>
  <si>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</si>
  <si>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</si>
  <si>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</si>
  <si>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</si>
  <si>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</si>
  <si>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</si>
  <si>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</si>
  <si>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</si>
  <si>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</si>
  <si>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</si>
  <si>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</si>
  <si>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</si>
  <si>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</si>
  <si>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</si>
  <si>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</si>
  <si>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</si>
  <si>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</si>
  <si>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</si>
  <si>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</si>
  <si>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</si>
  <si>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</si>
  <si>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</si>
  <si>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</si>
  <si>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</si>
  <si>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</si>
  <si>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</si>
  <si>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</si>
  <si>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</si>
  <si>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</si>
  <si>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</si>
  <si>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</si>
  <si>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</si>
  <si>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</si>
  <si>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</si>
  <si>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</si>
  <si>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</si>
  <si>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</si>
  <si>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</si>
  <si>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</si>
  <si>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</si>
  <si>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</si>
  <si>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</si>
  <si>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</si>
  <si>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</si>
  <si>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</si>
  <si>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</si>
  <si>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</si>
  <si>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</si>
  <si>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</si>
  <si>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</si>
  <si>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</si>
  <si>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</si>
  <si>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</si>
  <si>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</si>
  <si>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</si>
  <si>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</si>
  <si>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</si>
  <si>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</si>
  <si>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</si>
  <si>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</si>
  <si>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</si>
  <si>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</si>
  <si>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</si>
  <si>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</si>
  <si>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</si>
  <si>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</si>
  <si>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</si>
  <si>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</si>
  <si>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</si>
  <si>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</si>
  <si>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</si>
  <si>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</si>
  <si>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</si>
  <si>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</si>
  <si>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</si>
  <si>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</si>
  <si>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</si>
  <si>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</si>
  <si>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</si>
  <si>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</si>
  <si>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</si>
  <si>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</si>
  <si>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</si>
  <si>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</si>
  <si>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</si>
  <si>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</si>
  <si>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</si>
  <si>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</si>
  <si>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</si>
  <si>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</si>
  <si>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</si>
  <si>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</si>
  <si>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</si>
  <si>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</si>
  <si>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</si>
  <si>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</si>
  <si>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</si>
  <si>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</si>
  <si>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</si>
  <si>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</si>
  <si>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</si>
  <si>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</si>
  <si>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</si>
  <si>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</si>
  <si>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</si>
  <si>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</si>
  <si>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</si>
  <si>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</si>
  <si>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</si>
  <si>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</si>
  <si>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</si>
  <si>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</si>
  <si>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</si>
  <si>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</si>
  <si>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</si>
  <si>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</si>
  <si>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</si>
  <si>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</si>
  <si>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</si>
  <si>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</si>
  <si>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</si>
  <si>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</si>
  <si>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</si>
  <si>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</si>
  <si>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</si>
  <si>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</si>
  <si>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</si>
  <si>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</si>
  <si>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</si>
  <si>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</si>
  <si>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</si>
  <si>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</si>
  <si>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</si>
  <si>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</si>
  <si>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</si>
  <si>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</si>
  <si>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</si>
  <si>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</si>
  <si>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</si>
  <si>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</si>
  <si>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</si>
  <si>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</si>
  <si>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</si>
  <si>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</si>
  <si>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</si>
  <si>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</si>
  <si>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</si>
  <si>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</si>
  <si>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</si>
  <si>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</si>
  <si>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</si>
  <si>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</si>
  <si>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</si>
  <si>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</si>
  <si>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</si>
  <si>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</si>
  <si>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</si>
  <si>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</si>
  <si>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</si>
  <si>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</si>
  <si>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</si>
  <si>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</si>
  <si>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</si>
  <si>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</si>
  <si>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</si>
  <si>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</si>
  <si>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</si>
  <si>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</si>
  <si>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</si>
  <si>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</si>
  <si>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</si>
  <si>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</si>
  <si>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</si>
  <si>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</si>
  <si>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</si>
  <si>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</si>
  <si>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</si>
  <si>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</si>
  <si>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</si>
  <si>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</si>
  <si>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</si>
  <si>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</si>
  <si>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</si>
  <si>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</si>
  <si>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</si>
  <si>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</si>
  <si>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</si>
  <si>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</si>
  <si>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</si>
  <si>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</si>
  <si>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</si>
  <si>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</si>
  <si>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</si>
  <si>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</si>
  <si>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</si>
  <si>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</si>
  <si>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</si>
  <si>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</si>
  <si>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</si>
  <si>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</si>
  <si>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</si>
  <si>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</si>
  <si>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</si>
  <si>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</si>
  <si>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</si>
  <si>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</si>
  <si>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</si>
  <si>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</si>
  <si>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</si>
  <si>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</si>
  <si>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</si>
  <si>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</si>
  <si>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</si>
  <si>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</si>
  <si>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</si>
  <si>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</si>
  <si>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</si>
  <si>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</si>
  <si>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</si>
  <si>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</si>
  <si>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</si>
  <si>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</si>
  <si>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</si>
  <si>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</si>
  <si>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</si>
  <si>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</si>
  <si>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</si>
  <si>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</si>
  <si>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</si>
  <si>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</si>
  <si>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</si>
  <si>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</si>
  <si>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</si>
  <si>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</si>
  <si>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</si>
  <si>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</si>
  <si>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</si>
  <si>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</si>
  <si>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</si>
  <si>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</si>
  <si>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</si>
  <si>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</si>
  <si>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</si>
  <si>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</si>
  <si>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</si>
  <si>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</si>
  <si>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</si>
  <si>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</si>
  <si>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</si>
  <si>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</si>
  <si>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</si>
  <si>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</si>
  <si>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</si>
  <si>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</si>
  <si>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</si>
  <si>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</si>
  <si>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</si>
  <si>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</si>
  <si>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</si>
  <si>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</si>
  <si>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</si>
  <si>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</si>
  <si>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</si>
  <si>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</si>
  <si>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</si>
  <si>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</si>
  <si>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</si>
  <si>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</si>
  <si>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</si>
  <si>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</si>
  <si>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</si>
  <si>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</si>
  <si>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</si>
  <si>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</si>
  <si>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</si>
  <si>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</si>
  <si>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</si>
  <si>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</si>
  <si>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</si>
  <si>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</si>
  <si>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</si>
  <si>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</si>
  <si>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</si>
  <si>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</si>
  <si>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</si>
  <si>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</si>
  <si>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</si>
  <si>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</si>
  <si>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</si>
  <si>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</si>
  <si>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</si>
  <si>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</si>
  <si>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</si>
  <si>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</si>
  <si>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</si>
  <si>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</si>
  <si>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</si>
  <si>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</si>
  <si>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</si>
  <si>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</si>
  <si>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</si>
  <si>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</si>
  <si>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</si>
  <si>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</si>
  <si>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</si>
  <si>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</si>
  <si>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</si>
  <si>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</si>
  <si>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</si>
  <si>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</si>
  <si>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</si>
  <si>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</si>
  <si>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</si>
  <si>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</si>
  <si>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</si>
  <si>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</si>
  <si>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</si>
  <si>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</si>
  <si>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</si>
  <si>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</si>
  <si>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</si>
  <si>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</si>
  <si>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</si>
  <si>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</si>
  <si>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</si>
  <si>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</si>
  <si>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</si>
  <si>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</si>
  <si>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</si>
  <si>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</si>
  <si>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</si>
  <si>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</si>
  <si>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</si>
  <si>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</si>
  <si>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</si>
  <si>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</si>
  <si>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</si>
  <si>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</si>
  <si>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</si>
  <si>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</si>
  <si>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</si>
  <si>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</si>
  <si>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</si>
  <si>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</si>
  <si>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</si>
  <si>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</si>
  <si>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</si>
  <si>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</si>
  <si>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</si>
  <si>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</si>
  <si>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</si>
  <si>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</si>
  <si>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</si>
  <si>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</si>
  <si>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</si>
  <si>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</si>
  <si>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</si>
  <si>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</si>
  <si>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</si>
  <si>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</si>
  <si>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</si>
  <si>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</si>
  <si>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</si>
  <si>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</si>
  <si>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</si>
  <si>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</si>
  <si>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</si>
  <si>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</si>
  <si>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</si>
  <si>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</si>
  <si>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</si>
  <si>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</si>
  <si>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</si>
  <si>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</si>
  <si>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</si>
  <si>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</si>
  <si>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</si>
  <si>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</si>
  <si>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</si>
  <si>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</si>
  <si>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</si>
  <si>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</si>
  <si>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</si>
  <si>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</si>
  <si>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</si>
  <si>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</si>
  <si>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</si>
  <si>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</si>
  <si>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</si>
  <si>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</si>
  <si>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</si>
  <si>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</si>
  <si>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</si>
  <si>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</si>
  <si>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</si>
  <si>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</si>
  <si>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</si>
  <si>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</si>
  <si>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</si>
  <si>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</si>
  <si>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</si>
  <si>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</si>
  <si>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</si>
  <si>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</si>
  <si>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</si>
  <si>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</si>
  <si>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</si>
  <si>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</si>
  <si>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</si>
  <si>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</si>
  <si>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</si>
  <si>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</si>
  <si>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</si>
  <si>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</si>
  <si>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</si>
  <si>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</si>
  <si>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</si>
  <si>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</si>
  <si>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</si>
  <si>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</si>
  <si>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</si>
  <si>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</si>
  <si>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</si>
  <si>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</si>
  <si>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</si>
  <si>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</si>
  <si>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</si>
  <si>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</si>
  <si>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</si>
  <si>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</si>
  <si>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</si>
  <si>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</si>
  <si>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</si>
  <si>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</si>
  <si>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</si>
  <si>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</si>
  <si>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</si>
  <si>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</si>
  <si>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</si>
  <si>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</si>
  <si>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</si>
  <si>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</si>
  <si>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</si>
  <si>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</si>
  <si>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</si>
  <si>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</si>
  <si>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</si>
  <si>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</si>
  <si>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</si>
  <si>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</si>
  <si>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</si>
  <si>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</si>
  <si>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</si>
  <si>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</si>
  <si>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</si>
  <si>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</si>
  <si>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</si>
  <si>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</si>
  <si>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</si>
  <si>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</si>
  <si>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</si>
  <si>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</si>
  <si>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</si>
  <si>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</si>
  <si>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</si>
  <si>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</si>
  <si>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</si>
  <si>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</si>
  <si>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</si>
  <si>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</si>
  <si>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</si>
  <si>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</si>
  <si>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</si>
  <si>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</si>
  <si>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</si>
  <si>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</si>
  <si>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</si>
  <si>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</si>
  <si>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</si>
  <si>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</si>
  <si>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</si>
  <si>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</si>
  <si>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</si>
  <si>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</si>
  <si>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</si>
  <si>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</si>
  <si>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</si>
  <si>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</si>
  <si>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</si>
  <si>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</si>
  <si>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</si>
  <si>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</si>
  <si>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</si>
  <si>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</si>
  <si>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</si>
  <si>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</si>
  <si>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</si>
  <si>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</si>
  <si>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</si>
  <si>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</si>
  <si>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</si>
  <si>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</si>
  <si>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</si>
  <si>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</si>
  <si>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</si>
  <si>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</si>
  <si>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</si>
  <si>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</si>
  <si>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</si>
  <si>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</si>
  <si>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</si>
  <si>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</si>
  <si>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</si>
  <si>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</si>
  <si>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</si>
  <si>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</si>
  <si>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</si>
  <si>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</si>
  <si>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</si>
  <si>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</si>
  <si>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</si>
  <si>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</si>
  <si>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</si>
  <si>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</si>
  <si>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</si>
  <si>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</si>
  <si>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</si>
  <si>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</si>
  <si>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</si>
  <si>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</si>
  <si>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</si>
  <si>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</si>
  <si>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</si>
  <si>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</si>
  <si>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</si>
  <si>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</si>
  <si>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</si>
  <si>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</si>
  <si>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</si>
  <si>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</si>
  <si>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</si>
  <si>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</si>
  <si>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</si>
  <si>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</si>
  <si>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</si>
  <si>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</si>
  <si>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</si>
  <si>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</si>
  <si>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</si>
  <si>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</si>
  <si>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</si>
  <si>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</si>
  <si>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</si>
  <si>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</si>
  <si>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</si>
  <si>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</si>
  <si>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</si>
  <si>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</si>
  <si>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</si>
  <si>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</si>
  <si>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</si>
  <si>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</si>
  <si>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</si>
  <si>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</si>
  <si>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</si>
  <si>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</si>
  <si>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</si>
  <si>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</si>
  <si>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</si>
  <si>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</si>
  <si>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</si>
  <si>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</si>
  <si>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</si>
  <si>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</si>
  <si>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</si>
  <si>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</si>
  <si>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</si>
  <si>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</si>
  <si>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</si>
  <si>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</si>
  <si>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</si>
  <si>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</si>
  <si>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</si>
  <si>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</si>
  <si>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</si>
  <si>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</si>
  <si>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</si>
  <si>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</si>
  <si>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</si>
  <si>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</si>
  <si>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</si>
  <si>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</si>
  <si>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</si>
  <si>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</si>
  <si>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</si>
  <si>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</si>
  <si>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</si>
  <si>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</si>
  <si>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</si>
  <si>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</si>
  <si>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</si>
  <si>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</si>
  <si>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</si>
  <si>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</si>
  <si>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</si>
  <si>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</si>
  <si>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</si>
  <si>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</si>
  <si>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</si>
  <si>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</si>
  <si>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</si>
  <si>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</si>
  <si>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</si>
  <si>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</si>
  <si>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</si>
  <si>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</si>
  <si>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</si>
  <si>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</si>
  <si>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</si>
  <si>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</si>
  <si>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</si>
  <si>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</si>
  <si>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</si>
  <si>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</si>
  <si>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</si>
  <si>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</si>
  <si>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</si>
  <si>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</si>
  <si>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</si>
  <si>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</si>
  <si>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</si>
  <si>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</si>
  <si>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</si>
  <si>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</si>
  <si>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</si>
  <si>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</si>
  <si>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</si>
  <si>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</si>
  <si>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</si>
  <si>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</si>
  <si>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</si>
  <si>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</si>
  <si>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</si>
  <si>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</si>
  <si>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</si>
  <si>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</si>
  <si>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</si>
  <si>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</si>
  <si>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</si>
  <si>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</si>
  <si>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</si>
  <si>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</si>
  <si>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</si>
  <si>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</si>
  <si>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</si>
  <si>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</si>
  <si>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</si>
  <si>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</si>
  <si>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</si>
  <si>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</si>
  <si>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</si>
  <si>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</si>
  <si>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</si>
  <si>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</si>
  <si>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</si>
  <si>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</si>
  <si>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</si>
  <si>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</si>
  <si>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</si>
  <si>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</si>
  <si>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</si>
  <si>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</si>
  <si>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</si>
  <si>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</si>
  <si>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</si>
  <si>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</si>
  <si>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</si>
  <si>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</si>
  <si>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</si>
  <si>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</si>
  <si>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</si>
  <si>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</si>
  <si>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</si>
  <si>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</si>
  <si>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</si>
  <si>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</si>
  <si>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</si>
  <si>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</si>
  <si>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</si>
  <si>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</si>
  <si>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</si>
  <si>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</si>
  <si>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</si>
  <si>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</si>
  <si>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</si>
  <si>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</si>
  <si>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</si>
  <si>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</si>
  <si>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</si>
  <si>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</si>
  <si>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</si>
  <si>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</si>
  <si>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</si>
  <si>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</si>
  <si>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</si>
  <si>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</si>
  <si>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</si>
  <si>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</si>
  <si>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</si>
  <si>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</si>
  <si>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</si>
  <si>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</si>
  <si>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</si>
  <si>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</si>
  <si>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</si>
  <si>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</si>
  <si>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</si>
  <si>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</si>
  <si>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</si>
  <si>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</si>
  <si>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</si>
  <si>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</si>
  <si>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</si>
  <si>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</si>
  <si>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</si>
  <si>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</si>
  <si>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</si>
  <si>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</si>
  <si>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</si>
  <si>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</si>
  <si>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</si>
  <si>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</si>
  <si>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</si>
  <si>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</si>
  <si>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</si>
  <si>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</si>
  <si>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</si>
  <si>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</si>
  <si>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</si>
  <si>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</si>
  <si>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</si>
  <si>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</si>
  <si>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</si>
  <si>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</si>
  <si>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</si>
  <si>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</si>
  <si>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</si>
  <si>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</si>
  <si>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</si>
  <si>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</si>
  <si>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</si>
  <si>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</si>
  <si>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</si>
  <si>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</si>
  <si>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</si>
  <si>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</si>
  <si>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</si>
  <si>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</si>
  <si>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</si>
  <si>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</si>
  <si>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</si>
  <si>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</si>
  <si>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</si>
  <si>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</si>
  <si>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</si>
  <si>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</si>
  <si>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</si>
  <si>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</si>
  <si>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</si>
  <si>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</si>
  <si>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</si>
  <si>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</si>
  <si>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</si>
  <si>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</si>
  <si>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</si>
  <si>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</si>
  <si>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</si>
  <si>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</si>
  <si>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</si>
  <si>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</si>
  <si>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</si>
  <si>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</si>
  <si>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</si>
  <si>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</si>
  <si>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</si>
  <si>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</si>
  <si>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</si>
  <si>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</si>
  <si>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</si>
  <si>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</si>
  <si>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</si>
  <si>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</si>
  <si>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</si>
  <si>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</si>
  <si>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</si>
  <si>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</si>
  <si>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</si>
  <si>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</si>
  <si>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</si>
  <si>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</si>
  <si>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</si>
  <si>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</si>
  <si>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</si>
  <si>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</si>
  <si>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</si>
  <si>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</si>
  <si>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</si>
  <si>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</si>
  <si>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</si>
  <si>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</si>
  <si>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</si>
  <si>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</si>
  <si>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</si>
  <si>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</si>
  <si>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</si>
  <si>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</si>
  <si>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</si>
  <si>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</si>
  <si>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</si>
  <si>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</si>
  <si>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</si>
  <si>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</si>
  <si>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</si>
  <si>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</si>
  <si>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</si>
  <si>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</si>
  <si>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</si>
  <si>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</si>
  <si>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</si>
  <si>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</si>
  <si>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</si>
  <si>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</si>
  <si>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</si>
  <si>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</si>
  <si>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</si>
  <si>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</si>
  <si>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</si>
  <si>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</si>
  <si>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</si>
  <si>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</si>
  <si>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</si>
  <si>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</si>
  <si>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</si>
  <si>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</si>
  <si>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</si>
  <si>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</si>
  <si>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</si>
  <si>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</si>
  <si>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</si>
  <si>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</si>
  <si>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</si>
  <si>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</si>
  <si>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</si>
  <si>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</si>
  <si>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</si>
  <si>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</si>
  <si>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</si>
  <si>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</si>
  <si>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</si>
  <si>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</si>
  <si>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</si>
  <si>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</si>
  <si>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</si>
  <si>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</si>
  <si>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</si>
  <si>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</si>
  <si>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</si>
  <si>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</si>
  <si>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</si>
  <si>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</si>
  <si>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</si>
  <si>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</si>
  <si>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</si>
  <si>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</si>
  <si>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</si>
  <si>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</si>
  <si>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</si>
  <si>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</si>
  <si>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</si>
  <si>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</si>
  <si>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</si>
  <si>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</si>
  <si>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</si>
  <si>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</si>
  <si>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</si>
  <si>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</si>
  <si>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</si>
  <si>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</si>
  <si>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</si>
  <si>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</si>
  <si>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</si>
  <si>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</si>
  <si>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</si>
  <si>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</si>
  <si>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</si>
  <si>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</si>
  <si>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</si>
  <si>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</si>
  <si>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</si>
  <si>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</si>
  <si>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</si>
  <si>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</si>
  <si>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</si>
  <si>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</si>
  <si>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</si>
  <si>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</si>
  <si>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</si>
  <si>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</si>
  <si>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</si>
  <si>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</si>
  <si>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</si>
  <si>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</si>
  <si>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</si>
  <si>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</si>
  <si>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</si>
  <si>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</si>
  <si>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</si>
  <si>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</si>
  <si>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</si>
  <si>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</si>
  <si>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</si>
  <si>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</si>
  <si>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</si>
  <si>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</si>
  <si>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</si>
  <si>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</si>
  <si>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</si>
  <si>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</si>
  <si>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</si>
  <si>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</si>
  <si>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</si>
  <si>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</si>
  <si>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</si>
  <si>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</si>
  <si>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</si>
  <si>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</si>
  <si>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</si>
  <si>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</si>
  <si>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</si>
  <si>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</si>
  <si>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</si>
  <si>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</si>
  <si>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</si>
  <si>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</si>
  <si>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</si>
  <si>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</si>
  <si>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</si>
  <si>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</si>
  <si>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</si>
  <si>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</si>
  <si>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</si>
  <si>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</si>
  <si>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</si>
  <si>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</si>
  <si>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</si>
  <si>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</si>
  <si>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</si>
  <si>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</si>
  <si>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</si>
  <si>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</si>
  <si>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</si>
  <si>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</si>
  <si>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</si>
  <si>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</si>
  <si>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</si>
  <si>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</si>
  <si>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</si>
  <si>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</si>
  <si>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</si>
  <si>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</si>
  <si>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</si>
  <si>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</si>
  <si>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</si>
  <si>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</si>
  <si>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</si>
  <si>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</si>
  <si>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</si>
  <si>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</si>
  <si>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</si>
  <si>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</si>
  <si>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</si>
  <si>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</si>
  <si>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</si>
  <si>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</si>
  <si>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</si>
  <si>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</si>
  <si>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</si>
  <si>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</si>
  <si>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</si>
  <si>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</si>
  <si>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</si>
  <si>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</si>
  <si>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</si>
  <si>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</si>
  <si>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</si>
  <si>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</si>
  <si>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</si>
  <si>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</si>
  <si>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</si>
  <si>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</si>
  <si>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</si>
  <si>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</si>
  <si>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</si>
  <si>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</si>
  <si>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</si>
  <si>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</si>
  <si>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</si>
  <si>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</si>
  <si>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</si>
  <si>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</si>
  <si>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</si>
  <si>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</si>
  <si>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</si>
  <si>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</si>
  <si>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</si>
  <si>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</si>
  <si>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</si>
  <si>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</si>
  <si>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</si>
  <si>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</si>
  <si>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</si>
  <si>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</si>
  <si>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</si>
  <si>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</si>
  <si>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</si>
  <si>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</si>
  <si>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</si>
  <si>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</si>
  <si>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</si>
  <si>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</si>
  <si>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</si>
  <si>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</si>
  <si>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</si>
  <si>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</si>
  <si>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</si>
  <si>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</si>
  <si>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</si>
  <si>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</si>
  <si>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</si>
  <si>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</si>
  <si>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</si>
  <si>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</si>
  <si>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</si>
  <si>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</si>
  <si>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</si>
  <si>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</si>
  <si>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</si>
  <si>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</si>
  <si>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</si>
  <si>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</si>
  <si>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</si>
  <si>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</si>
  <si>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</si>
  <si>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</si>
  <si>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</si>
  <si>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</si>
  <si>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</si>
  <si>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</si>
  <si>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</si>
  <si>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</si>
  <si>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</si>
  <si>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</si>
  <si>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</si>
  <si>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</si>
  <si>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</si>
  <si>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</si>
  <si>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</si>
  <si>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</si>
  <si>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</si>
  <si>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</si>
  <si>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</si>
  <si>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</si>
  <si>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</si>
  <si>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</si>
  <si>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</si>
  <si>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</si>
  <si>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</si>
  <si>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</si>
  <si>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</si>
  <si>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</si>
  <si>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</si>
  <si>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</si>
  <si>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</si>
  <si>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</si>
  <si>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</si>
  <si>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</si>
  <si>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</si>
  <si>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</si>
  <si>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</si>
  <si>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</si>
  <si>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</si>
  <si>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</si>
  <si>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</si>
  <si>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</si>
  <si>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</si>
  <si>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</si>
  <si>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</si>
  <si>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</si>
  <si>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</si>
  <si>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</si>
  <si>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</si>
  <si>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</si>
  <si>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</si>
  <si>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</si>
  <si>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</si>
  <si>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</si>
  <si>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</si>
  <si>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</si>
  <si>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</si>
  <si>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</si>
  <si>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</si>
  <si>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</si>
  <si>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</si>
  <si>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</si>
  <si>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</si>
  <si>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</si>
  <si>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</si>
  <si>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</si>
  <si>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</si>
  <si>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</si>
  <si>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</si>
  <si>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</si>
  <si>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</si>
  <si>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</si>
  <si>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</si>
  <si>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</si>
  <si>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</si>
  <si>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</si>
  <si>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</si>
  <si>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</si>
  <si>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</si>
  <si>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</si>
  <si>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</si>
  <si>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</si>
  <si>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</si>
  <si>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</si>
  <si>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</si>
  <si>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</si>
  <si>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</si>
  <si>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</si>
  <si>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</si>
  <si>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</si>
  <si>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</si>
  <si>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</si>
  <si>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</si>
  <si>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</si>
  <si>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</si>
  <si>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</si>
  <si>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</si>
  <si>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</si>
  <si>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</si>
  <si>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</si>
  <si>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</si>
  <si>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</si>
  <si>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</si>
  <si>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</si>
  <si>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</si>
  <si>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</si>
  <si>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</si>
  <si>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</si>
  <si>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</si>
  <si>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</si>
  <si>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</si>
  <si>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</si>
  <si>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</si>
  <si>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</si>
  <si>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</si>
  <si>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</si>
  <si>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</si>
  <si>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</si>
  <si>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</si>
  <si>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</si>
  <si>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</si>
  <si>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</si>
  <si>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</si>
  <si>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</si>
  <si>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</si>
  <si>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</si>
  <si>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</si>
  <si>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</si>
  <si>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</si>
  <si>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</si>
  <si>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</si>
  <si>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</si>
  <si>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</si>
  <si>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</si>
  <si>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</si>
  <si>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</si>
  <si>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</si>
  <si>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</si>
  <si>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</si>
  <si>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</si>
  <si>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</si>
  <si>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</si>
  <si>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</si>
  <si>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</si>
  <si>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</si>
  <si>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</si>
  <si>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</si>
  <si>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</si>
  <si>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</si>
  <si>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</si>
  <si>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</si>
  <si>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</si>
  <si>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</si>
  <si>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</si>
  <si>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</si>
  <si>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</si>
  <si>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</si>
  <si>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</si>
  <si>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</si>
  <si>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</si>
  <si>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</si>
  <si>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</si>
  <si>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</si>
  <si>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</si>
  <si>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</si>
  <si>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</si>
  <si>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</si>
  <si>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</si>
  <si>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</si>
  <si>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</si>
  <si>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</si>
  <si>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</si>
  <si>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</si>
  <si>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</si>
  <si>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</si>
  <si>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</si>
  <si>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</si>
  <si>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</si>
  <si>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</si>
  <si>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</si>
  <si>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</si>
  <si>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</si>
  <si>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</si>
  <si>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</si>
  <si>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</si>
  <si>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</si>
  <si>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</si>
  <si>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</si>
  <si>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</si>
  <si>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</si>
  <si>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</si>
  <si>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</si>
  <si>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</si>
  <si>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</si>
  <si>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</si>
  <si>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</si>
  <si>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</si>
  <si>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</si>
  <si>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</si>
  <si>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</si>
  <si>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</si>
  <si>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</si>
  <si>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</si>
  <si>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</si>
  <si>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</si>
  <si>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</si>
  <si>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</si>
  <si>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</si>
  <si>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</si>
  <si>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</si>
  <si>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</si>
  <si>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</si>
  <si>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</si>
  <si>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</si>
  <si>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</si>
  <si>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</si>
  <si>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</si>
  <si>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</si>
  <si>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</si>
  <si>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</si>
  <si>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</si>
  <si>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</si>
  <si>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</si>
  <si>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</si>
  <si>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</si>
  <si>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</si>
  <si>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</si>
  <si>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</si>
  <si>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</si>
  <si>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</si>
  <si>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</si>
  <si>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</si>
  <si>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</si>
  <si>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</si>
  <si>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</si>
  <si>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</si>
  <si>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</si>
  <si>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</si>
  <si>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</si>
  <si>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</si>
  <si>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</si>
  <si>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</si>
  <si>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</si>
  <si>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</si>
  <si>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</si>
  <si>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</si>
  <si>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</si>
  <si>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</si>
  <si>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</si>
  <si>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</si>
  <si>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</si>
  <si>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</si>
  <si>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</si>
  <si>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</si>
  <si>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</si>
  <si>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</si>
  <si>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</si>
  <si>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</si>
  <si>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</si>
  <si>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</si>
  <si>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</si>
  <si>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</si>
  <si>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</si>
  <si>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</si>
  <si>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</si>
  <si>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</si>
  <si>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</si>
  <si>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</si>
  <si>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</si>
  <si>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</si>
  <si>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</si>
  <si>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</si>
  <si>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</si>
  <si>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</si>
  <si>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</si>
  <si>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</si>
  <si>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</si>
  <si>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</si>
  <si>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</si>
  <si>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</si>
  <si>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</si>
  <si>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</si>
  <si>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</si>
  <si>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</si>
  <si>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</si>
  <si>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</si>
  <si>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</si>
  <si>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</si>
  <si>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</si>
  <si>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</si>
  <si>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</si>
  <si>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</si>
  <si>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</si>
  <si>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</si>
  <si>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</si>
  <si>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</si>
  <si>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</si>
  <si>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</si>
  <si>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</si>
  <si>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</si>
  <si>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</si>
  <si>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</si>
  <si>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</si>
  <si>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</si>
  <si>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</si>
  <si>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</si>
  <si>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</si>
  <si>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</si>
  <si>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</si>
  <si>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</si>
  <si>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</si>
  <si>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</si>
  <si>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</si>
  <si>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</si>
  <si>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</si>
  <si>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</si>
  <si>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</si>
  <si>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</si>
  <si>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</si>
  <si>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</si>
  <si>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</si>
  <si>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</si>
  <si>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</si>
  <si>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</si>
  <si>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</si>
  <si>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</si>
  <si>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</si>
  <si>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</si>
  <si>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</si>
  <si>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</si>
  <si>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</si>
  <si>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</si>
  <si>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</si>
  <si>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</si>
  <si>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</si>
  <si>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</si>
  <si>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</si>
  <si>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</si>
  <si>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</si>
  <si>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</si>
  <si>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</si>
  <si>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</si>
  <si>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</si>
  <si>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</si>
  <si>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</si>
  <si>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</si>
  <si>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</si>
  <si>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</si>
  <si>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</si>
  <si>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</si>
  <si>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</si>
  <si>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</si>
  <si>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</si>
  <si>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</si>
  <si>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</si>
  <si>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</si>
  <si>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</si>
  <si>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</si>
  <si>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</si>
  <si>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</si>
  <si>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</si>
  <si>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</si>
  <si>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</si>
  <si>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</si>
  <si>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</si>
  <si>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</si>
  <si>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</si>
  <si>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</si>
  <si>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</si>
  <si>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</si>
  <si>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</si>
  <si>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</si>
  <si>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</si>
  <si>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</si>
  <si>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</si>
  <si>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</si>
  <si>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</si>
  <si>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</si>
  <si>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</si>
  <si>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</si>
  <si>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</si>
  <si>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</si>
  <si>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</si>
  <si>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</si>
  <si>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</si>
  <si>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</si>
  <si>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</si>
  <si>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</si>
  <si>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</si>
  <si>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</si>
  <si>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</si>
  <si>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</si>
  <si>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</si>
  <si>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</si>
  <si>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</si>
  <si>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</si>
  <si>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</si>
  <si>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</si>
  <si>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</si>
  <si>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</si>
  <si>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</si>
  <si>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</si>
  <si>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</si>
  <si>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</si>
  <si>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</si>
  <si>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</si>
  <si>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</si>
  <si>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</si>
  <si>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</si>
  <si>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</si>
  <si>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</si>
  <si>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</si>
  <si>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</si>
  <si>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</si>
  <si>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</si>
  <si>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</si>
  <si>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</si>
  <si>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</si>
  <si>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</si>
  <si>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</si>
  <si>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</si>
  <si>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</si>
  <si>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</si>
  <si>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</si>
  <si>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</si>
  <si>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</si>
  <si>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</si>
  <si>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</si>
  <si>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</si>
  <si>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</si>
  <si>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</si>
  <si>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</si>
  <si>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</si>
  <si>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</si>
  <si>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</si>
  <si>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</si>
  <si>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</si>
  <si>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</si>
  <si>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</si>
  <si>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</si>
  <si>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</si>
  <si>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</si>
  <si>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</si>
  <si>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</si>
  <si>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</si>
  <si>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</si>
  <si>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</si>
  <si>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</si>
  <si>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</si>
  <si>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</si>
  <si>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</si>
  <si>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</si>
  <si>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</si>
  <si>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</si>
  <si>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</si>
  <si>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</si>
  <si>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</si>
  <si>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</si>
  <si>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</si>
  <si>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</si>
  <si>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</si>
  <si>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</si>
  <si>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</si>
  <si>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</si>
  <si>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</si>
  <si>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</si>
  <si>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</si>
  <si>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</si>
  <si>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</si>
  <si>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</si>
  <si>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</si>
  <si>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</si>
  <si>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</si>
  <si>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</si>
  <si>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</si>
  <si>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</si>
  <si>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</si>
  <si>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</si>
  <si>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</si>
  <si>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</si>
  <si>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</si>
  <si>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</si>
  <si>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</si>
  <si>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</si>
  <si>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</si>
  <si>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</si>
  <si>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</si>
  <si>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</si>
  <si>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</si>
  <si>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</si>
  <si>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</si>
  <si>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</si>
  <si>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</si>
  <si>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</si>
  <si>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</si>
  <si>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</si>
  <si>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</si>
  <si>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</si>
  <si>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</si>
  <si>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</si>
  <si>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</si>
  <si>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</si>
  <si>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</si>
  <si>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</si>
  <si>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</si>
  <si>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</si>
  <si>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</si>
  <si>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</si>
  <si>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</si>
  <si>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</si>
  <si>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</si>
  <si>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</si>
  <si>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</si>
  <si>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</si>
  <si>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</si>
  <si>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</si>
  <si>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</si>
  <si>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</si>
  <si>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</si>
  <si>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</si>
  <si>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</si>
  <si>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</si>
  <si>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</si>
  <si>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</si>
  <si>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</si>
  <si>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</si>
  <si>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</si>
  <si>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</si>
  <si>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</si>
  <si>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</si>
  <si>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</si>
  <si>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</si>
  <si>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</si>
  <si>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</si>
  <si>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</si>
  <si>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</si>
  <si>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</si>
  <si>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</si>
  <si>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</si>
  <si>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</si>
  <si>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</si>
  <si>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</si>
  <si>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</si>
  <si>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</si>
  <si>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</si>
  <si>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</si>
  <si>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</si>
  <si>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</si>
  <si>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</si>
  <si>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</si>
  <si>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</si>
  <si>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</si>
  <si>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</si>
  <si>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</si>
  <si>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</si>
  <si>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</si>
  <si>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</si>
  <si>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</si>
  <si>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</si>
  <si>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</si>
  <si>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</si>
  <si>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</si>
  <si>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</si>
  <si>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</si>
  <si>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</si>
  <si>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</si>
  <si>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</si>
  <si>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</si>
  <si>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</si>
  <si>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</si>
  <si>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</si>
  <si>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</si>
  <si>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</si>
  <si>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</si>
  <si>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</si>
  <si>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</si>
  <si>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</si>
  <si>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</si>
  <si>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</si>
  <si>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</si>
  <si>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</si>
  <si>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</si>
  <si>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</si>
  <si>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</si>
  <si>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</si>
  <si>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</si>
  <si>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</si>
  <si>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</si>
  <si>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</si>
  <si>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</si>
  <si>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</si>
  <si>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</si>
  <si>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</si>
  <si>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</si>
  <si>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</si>
  <si>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</si>
  <si>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</si>
  <si>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</si>
  <si>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</si>
  <si>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</si>
  <si>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</si>
  <si>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</si>
  <si>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</si>
  <si>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</si>
  <si>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</si>
  <si>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</si>
  <si>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</si>
  <si>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</si>
  <si>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</si>
  <si>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</si>
  <si>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</si>
  <si>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</si>
  <si>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</si>
  <si>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</si>
  <si>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</si>
  <si>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</si>
  <si>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</si>
  <si>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</si>
  <si>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</si>
  <si>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</si>
  <si>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</si>
  <si>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</si>
  <si>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</si>
  <si>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</si>
  <si>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</si>
  <si>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</si>
  <si>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</si>
  <si>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</si>
  <si>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</si>
  <si>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</si>
  <si>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</si>
  <si>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</si>
  <si>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</si>
  <si>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</si>
  <si>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</si>
  <si>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</si>
  <si>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</si>
  <si>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</si>
  <si>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</si>
  <si>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</si>
  <si>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</si>
  <si>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</si>
  <si>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</si>
  <si>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</si>
  <si>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</si>
  <si>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</si>
  <si>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</si>
  <si>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</si>
  <si>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</si>
  <si>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</si>
  <si>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</si>
  <si>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</si>
  <si>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</si>
  <si>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</si>
  <si>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</si>
  <si>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</si>
  <si>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</si>
  <si>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</si>
  <si>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</si>
  <si>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</si>
  <si>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</si>
  <si>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</si>
  <si>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</si>
  <si>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</si>
  <si>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</si>
  <si>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</si>
  <si>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</si>
  <si>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</si>
  <si>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</si>
  <si>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</si>
  <si>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</si>
  <si>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</si>
  <si>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</si>
  <si>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</si>
  <si>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</si>
  <si>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</si>
  <si>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</si>
  <si>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</si>
  <si>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</si>
  <si>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</si>
  <si>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</si>
  <si>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</si>
  <si>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</si>
  <si>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</si>
  <si>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</si>
  <si>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</si>
  <si>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</si>
  <si>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</si>
  <si>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</si>
  <si>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</si>
  <si>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</si>
  <si>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</si>
  <si>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</si>
  <si>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</si>
  <si>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</si>
  <si>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</si>
  <si>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</si>
  <si>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</si>
  <si>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</si>
  <si>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</si>
  <si>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</si>
  <si>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</si>
  <si>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</si>
  <si>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</si>
  <si>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</si>
  <si>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</si>
  <si>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</si>
  <si>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</si>
  <si>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</si>
  <si>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</si>
  <si>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</si>
  <si>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</si>
  <si>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</si>
  <si>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</si>
  <si>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</si>
  <si>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</si>
  <si>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</si>
  <si>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</si>
  <si>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</si>
  <si>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</si>
  <si>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</si>
  <si>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</si>
  <si>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</si>
  <si>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</si>
  <si>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</si>
  <si>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</si>
  <si>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</si>
  <si>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</si>
  <si>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</si>
  <si>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</si>
  <si>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</si>
  <si>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</si>
  <si>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</si>
  <si>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</si>
  <si>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</si>
  <si>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</si>
  <si>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</si>
  <si>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</si>
  <si>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</si>
  <si>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</si>
  <si>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</si>
  <si>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</si>
  <si>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</si>
  <si>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</si>
  <si>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</si>
  <si>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</si>
  <si>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</si>
  <si>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</si>
  <si>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</si>
  <si>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</si>
  <si>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</si>
  <si>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</si>
  <si>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</si>
  <si>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</si>
  <si>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</si>
  <si>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</si>
  <si>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</si>
  <si>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</si>
  <si>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</si>
  <si>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</si>
  <si>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</si>
  <si>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</si>
  <si>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</si>
  <si>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</si>
  <si>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</si>
  <si>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</si>
  <si>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</si>
  <si>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</si>
  <si>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</si>
  <si>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</si>
  <si>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</si>
  <si>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</si>
  <si>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</si>
  <si>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</si>
  <si>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</si>
  <si>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</si>
  <si>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</si>
  <si>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</si>
  <si>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</si>
  <si>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</si>
  <si>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</si>
  <si>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</si>
  <si>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</si>
  <si>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</si>
  <si>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</si>
  <si>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</si>
  <si>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</si>
  <si>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</si>
  <si>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</si>
  <si>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</si>
  <si>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</si>
  <si>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</si>
  <si>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</si>
  <si>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</si>
  <si>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</si>
  <si>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</si>
  <si>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</si>
  <si>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</si>
  <si>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</si>
  <si>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</si>
  <si>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</si>
  <si>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</si>
  <si>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</si>
  <si>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</si>
  <si>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</si>
  <si>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</si>
  <si>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</si>
  <si>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</si>
  <si>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</si>
  <si>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</si>
  <si>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</si>
  <si>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</si>
  <si>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</si>
  <si>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</si>
  <si>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</si>
  <si>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</si>
  <si>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</si>
  <si>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</si>
  <si>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</si>
  <si>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</si>
  <si>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</si>
  <si>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</si>
  <si>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</si>
  <si>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</si>
  <si>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</si>
  <si>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</si>
  <si>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</si>
  <si>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</si>
  <si>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</si>
  <si>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</si>
  <si>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</si>
  <si>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</si>
  <si>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</si>
  <si>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</si>
  <si>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</si>
  <si>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</si>
  <si>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</si>
  <si>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</si>
  <si>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</si>
  <si>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</si>
  <si>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</si>
  <si>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</si>
  <si>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</si>
  <si>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</si>
  <si>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</si>
  <si>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</si>
  <si>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</si>
  <si>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</si>
  <si>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</si>
  <si>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</si>
  <si>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</si>
  <si>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</si>
  <si>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</si>
  <si>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</si>
  <si>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</si>
  <si>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</si>
  <si>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</si>
  <si>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</si>
  <si>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</si>
  <si>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</si>
  <si>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</si>
  <si>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</si>
  <si>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</si>
  <si>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</si>
  <si>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</si>
  <si>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</si>
  <si>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</si>
  <si>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</si>
  <si>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</si>
  <si>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</si>
  <si>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</si>
  <si>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</si>
  <si>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</si>
  <si>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</si>
  <si>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</si>
  <si>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</si>
  <si>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</si>
  <si>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</si>
  <si>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</si>
  <si>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</si>
  <si>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</si>
  <si>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</si>
  <si>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</si>
  <si>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</si>
  <si>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</si>
  <si>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</si>
  <si>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</si>
  <si>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</si>
  <si>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</si>
  <si>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</si>
  <si>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</si>
  <si>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</si>
  <si>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</si>
  <si>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</si>
  <si>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</si>
  <si>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</si>
  <si>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</si>
  <si>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</si>
  <si>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</si>
  <si>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</si>
  <si>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</si>
  <si>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</si>
  <si>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</si>
  <si>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</si>
  <si>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</si>
  <si>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</si>
  <si>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</si>
  <si>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</si>
  <si>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</si>
  <si>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</si>
  <si>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</si>
  <si>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</si>
  <si>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</si>
  <si>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</si>
  <si>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</si>
  <si>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</si>
  <si>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</si>
  <si>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</si>
  <si>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</si>
  <si>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</si>
  <si>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</si>
  <si>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</si>
  <si>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</si>
  <si>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</si>
  <si>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</si>
  <si>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</si>
  <si>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</si>
  <si>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</si>
  <si>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</si>
  <si>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</si>
  <si>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</si>
  <si>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</si>
  <si>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</si>
  <si>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</si>
  <si>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</si>
  <si>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</si>
  <si>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</si>
  <si>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</si>
  <si>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</si>
  <si>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</si>
  <si>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</si>
  <si>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</si>
  <si>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</si>
  <si>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</si>
  <si>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</si>
  <si>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</si>
  <si>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</si>
  <si>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</si>
  <si>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</si>
  <si>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</si>
  <si>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</si>
  <si>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</si>
  <si>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</si>
  <si>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</si>
  <si>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</si>
  <si>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</si>
  <si>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</si>
  <si>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</si>
  <si>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</si>
  <si>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</si>
  <si>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</si>
  <si>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</si>
  <si>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</si>
  <si>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</si>
  <si>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</si>
  <si>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</si>
  <si>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</si>
  <si>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</si>
  <si>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</si>
  <si>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</si>
  <si>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</si>
  <si>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</si>
  <si>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</si>
  <si>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</si>
  <si>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</si>
  <si>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</si>
  <si>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</si>
  <si>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</si>
  <si>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</si>
  <si>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</si>
  <si>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</si>
  <si>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</si>
  <si>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</si>
  <si>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</si>
  <si>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</si>
  <si>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</si>
  <si>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</si>
  <si>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</si>
  <si>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</si>
  <si>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</si>
  <si>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</si>
  <si>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</si>
  <si>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</si>
  <si>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</si>
  <si>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</si>
  <si>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</si>
  <si>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</si>
  <si>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</si>
  <si>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</si>
  <si>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</si>
  <si>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</si>
  <si>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</si>
  <si>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</si>
  <si>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</si>
  <si>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</si>
  <si>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</si>
  <si>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</si>
  <si>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</si>
  <si>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</si>
  <si>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</si>
  <si>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</si>
  <si>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</si>
  <si>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</si>
  <si>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</si>
  <si>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</si>
  <si>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</si>
  <si>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</si>
  <si>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</si>
  <si>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</si>
  <si>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</si>
  <si>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</si>
  <si>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</si>
  <si>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</si>
  <si>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</si>
  <si>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</si>
  <si>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</si>
  <si>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</si>
  <si>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</si>
  <si>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</si>
  <si>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</si>
  <si>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</si>
  <si>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</si>
  <si>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</si>
  <si>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</si>
  <si>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</si>
  <si>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</si>
  <si>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</si>
  <si>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</si>
  <si>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</si>
  <si>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</si>
  <si>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</si>
  <si>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</si>
  <si>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</si>
  <si>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</si>
  <si>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</si>
  <si>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</si>
  <si>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</si>
  <si>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</si>
  <si>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</si>
  <si>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</si>
  <si>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</si>
  <si>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</si>
  <si>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</si>
  <si>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</si>
  <si>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</si>
  <si>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</si>
  <si>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</si>
  <si>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</si>
  <si>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</si>
  <si>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</si>
  <si>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</si>
  <si>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</si>
  <si>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</si>
  <si>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</si>
  <si>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</si>
  <si>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</si>
  <si>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</si>
  <si>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</si>
  <si>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</si>
  <si>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</si>
  <si>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</si>
  <si>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</si>
  <si>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</si>
  <si>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</si>
  <si>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</si>
  <si>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</si>
  <si>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</si>
  <si>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</si>
  <si>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</si>
  <si>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</si>
  <si>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</si>
  <si>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</si>
  <si>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</si>
  <si>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</si>
  <si>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</si>
  <si>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</si>
  <si>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</si>
  <si>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</si>
  <si>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</si>
  <si>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</si>
  <si>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</si>
  <si>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</si>
  <si>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</si>
  <si>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</si>
  <si>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</si>
  <si>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</si>
  <si>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</si>
  <si>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</si>
  <si>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</si>
  <si>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</si>
  <si>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</si>
  <si>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</si>
  <si>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</si>
  <si>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</si>
  <si>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</si>
  <si>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</si>
  <si>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</si>
  <si>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</si>
  <si>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</si>
  <si>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</si>
  <si>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</si>
  <si>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</si>
  <si>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</si>
  <si>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</si>
  <si>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</si>
  <si>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</si>
  <si>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</si>
  <si>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</si>
  <si>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</si>
  <si>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</si>
  <si>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</si>
  <si>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</si>
  <si>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</si>
  <si>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</si>
  <si>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</si>
  <si>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</si>
  <si>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</si>
  <si>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</si>
  <si>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</si>
  <si>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</si>
  <si>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</si>
  <si>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</si>
  <si>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</si>
  <si>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</si>
  <si>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</si>
  <si>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</si>
  <si>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</si>
  <si>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</si>
  <si>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</si>
  <si>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</si>
  <si>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</si>
  <si>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</si>
  <si>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</si>
  <si>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</si>
  <si>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</si>
  <si>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</si>
  <si>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</si>
  <si>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</si>
  <si>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</si>
  <si>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</si>
  <si>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</si>
  <si>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</si>
  <si>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</si>
  <si>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</si>
  <si>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</si>
  <si>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</si>
  <si>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</si>
  <si>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</si>
  <si>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</si>
  <si>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</si>
  <si>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</si>
  <si>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</si>
  <si>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</si>
  <si>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</si>
  <si>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</si>
  <si>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</si>
  <si>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</si>
  <si>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</si>
  <si>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</si>
  <si>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</si>
  <si>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</si>
  <si>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</si>
  <si>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</si>
  <si>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</si>
  <si>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</si>
  <si>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</si>
  <si>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</si>
  <si>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</si>
  <si>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</si>
  <si>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</si>
  <si>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</si>
  <si>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</si>
  <si>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</si>
  <si>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</si>
  <si>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</si>
  <si>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</si>
  <si>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</si>
  <si>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</si>
  <si>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</si>
  <si>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</si>
  <si>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</si>
  <si>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</si>
  <si>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</si>
  <si>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</si>
  <si>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</si>
  <si>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</si>
  <si>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</si>
  <si>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</si>
  <si>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</si>
  <si>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</si>
  <si>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</si>
  <si>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</si>
  <si>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</si>
  <si>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</si>
  <si>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</si>
  <si>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</si>
  <si>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</si>
  <si>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</si>
  <si>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</si>
  <si>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</si>
  <si>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</si>
  <si>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</si>
  <si>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</si>
  <si>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</si>
  <si>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</si>
  <si>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</si>
  <si>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</si>
  <si>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</si>
  <si>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</si>
  <si>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</si>
  <si>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</si>
  <si>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</si>
  <si>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</si>
  <si>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</si>
  <si>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</si>
  <si>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</si>
  <si>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</si>
  <si>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</si>
  <si>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</si>
  <si>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</si>
  <si>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</si>
  <si>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</si>
  <si>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</si>
  <si>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</si>
  <si>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</si>
  <si>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</si>
  <si>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</si>
  <si>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</si>
  <si>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</si>
  <si>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</si>
  <si>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</si>
  <si>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</si>
  <si>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</si>
  <si>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</si>
  <si>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</si>
  <si>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</si>
  <si>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</si>
  <si>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</si>
  <si>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</si>
  <si>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</si>
  <si>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</si>
  <si>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</si>
  <si>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</si>
  <si>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</si>
  <si>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</si>
  <si>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</si>
  <si>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</si>
  <si>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</si>
  <si>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</si>
  <si>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</si>
  <si>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</si>
  <si>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</si>
  <si>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</si>
  <si>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</si>
  <si>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</si>
  <si>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</si>
  <si>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</si>
  <si>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</si>
  <si>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</si>
  <si>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</si>
  <si>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</si>
  <si>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</si>
  <si>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</si>
  <si>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</si>
  <si>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</si>
  <si>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</si>
  <si>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</si>
  <si>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</si>
  <si>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</si>
  <si>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</si>
  <si>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</si>
  <si>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</si>
  <si>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</si>
  <si>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</si>
  <si>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</si>
  <si>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</si>
  <si>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</si>
  <si>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</si>
  <si>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</si>
  <si>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</si>
  <si>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</si>
  <si>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</si>
  <si>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</si>
  <si>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</si>
  <si>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</si>
  <si>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</si>
  <si>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</si>
  <si>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</si>
  <si>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</si>
  <si>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</si>
  <si>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</si>
  <si>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</si>
  <si>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</si>
  <si>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</si>
  <si>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</si>
  <si>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</si>
  <si>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</si>
  <si>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</si>
  <si>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</si>
  <si>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</si>
  <si>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</si>
  <si>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</si>
  <si>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</si>
  <si>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</si>
  <si>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</si>
  <si>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</si>
  <si>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</si>
  <si>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</si>
  <si>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</si>
  <si>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</si>
  <si>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</si>
  <si>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</si>
  <si>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</si>
  <si>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</si>
  <si>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</si>
  <si>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</si>
  <si>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</si>
  <si>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</si>
  <si>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</si>
  <si>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</si>
  <si>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</si>
  <si>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</si>
  <si>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</si>
  <si>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</si>
  <si>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</si>
  <si>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</si>
  <si>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</si>
  <si>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</si>
  <si>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</si>
  <si>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</si>
  <si>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</si>
  <si>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</si>
  <si>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</si>
  <si>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</si>
  <si>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</si>
  <si>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</si>
  <si>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</si>
  <si>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</si>
  <si>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</si>
  <si>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</si>
  <si>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</si>
  <si>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</si>
  <si>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</si>
  <si>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</si>
  <si>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</si>
  <si>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</si>
  <si>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</si>
  <si>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</si>
  <si>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</si>
  <si>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</si>
  <si>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</si>
  <si>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</si>
  <si>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</si>
  <si>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</si>
  <si>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</si>
  <si>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</si>
  <si>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</si>
  <si>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</si>
  <si>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</si>
  <si>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</si>
  <si>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</si>
  <si>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</si>
  <si>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</si>
  <si>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</si>
  <si>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</si>
  <si>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</si>
  <si>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</si>
  <si>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</si>
  <si>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</si>
  <si>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</si>
  <si>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</si>
  <si>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</si>
  <si>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</si>
  <si>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</si>
  <si>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</si>
  <si>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</si>
  <si>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</si>
  <si>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</si>
  <si>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</si>
  <si>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</si>
  <si>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</si>
  <si>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</si>
  <si>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</si>
  <si>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</si>
  <si>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</si>
  <si>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</si>
  <si>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</si>
  <si>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</si>
  <si>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</si>
  <si>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</si>
  <si>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</si>
  <si>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</si>
  <si>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</si>
  <si>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</si>
  <si>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</si>
  <si>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</si>
  <si>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</si>
  <si>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</si>
  <si>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</si>
  <si>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</si>
  <si>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</si>
  <si>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</si>
  <si>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</si>
  <si>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</si>
  <si>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</si>
  <si>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</si>
  <si>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</si>
  <si>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</si>
  <si>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</si>
  <si>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</si>
  <si>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</si>
  <si>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</si>
  <si>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</si>
  <si>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</si>
  <si>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</si>
  <si>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</si>
  <si>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</si>
  <si>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</si>
  <si>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</si>
  <si>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</si>
  <si>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</si>
  <si>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</si>
  <si>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</si>
  <si>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</si>
  <si>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</si>
  <si>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</si>
  <si>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</si>
  <si>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</si>
  <si>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</si>
  <si>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</si>
  <si>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</si>
  <si>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</si>
  <si>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</si>
  <si>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</si>
  <si>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</si>
  <si>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</si>
  <si>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</si>
  <si>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</si>
  <si>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</si>
  <si>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</si>
  <si>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</si>
  <si>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</si>
  <si>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</si>
  <si>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</si>
  <si>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</si>
  <si>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</si>
  <si>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</si>
  <si>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</si>
  <si>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</si>
  <si>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</si>
  <si>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</si>
  <si>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</si>
  <si>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</si>
  <si>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</si>
  <si>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</si>
  <si>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</si>
  <si>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</si>
  <si>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</si>
  <si>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</si>
  <si>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</si>
  <si>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</si>
  <si>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</si>
  <si>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</si>
  <si>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</si>
  <si>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</si>
  <si>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</si>
  <si>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</si>
  <si>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</si>
  <si>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</si>
  <si>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</si>
  <si>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</si>
  <si>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</si>
  <si>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</si>
  <si>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</si>
  <si>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</si>
  <si>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</si>
  <si>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</si>
  <si>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</si>
  <si>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</si>
  <si>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</si>
  <si>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</si>
  <si>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</si>
  <si>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</si>
  <si>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</si>
  <si>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</si>
  <si>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</si>
  <si>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</si>
  <si>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</si>
  <si>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</si>
  <si>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</si>
  <si>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</si>
  <si>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</si>
  <si>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</si>
  <si>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</si>
  <si>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</si>
  <si>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</si>
  <si>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</si>
  <si>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</si>
  <si>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</si>
  <si>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</si>
  <si>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</si>
  <si>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</si>
  <si>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</si>
  <si>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</si>
  <si>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</si>
  <si>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</si>
  <si>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</si>
  <si>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</si>
  <si>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</si>
  <si>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</si>
  <si>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</si>
  <si>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</si>
  <si>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</si>
  <si>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</si>
  <si>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</si>
  <si>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</si>
  <si>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</si>
  <si>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</si>
  <si>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</si>
  <si>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</si>
  <si>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</si>
  <si>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</si>
  <si>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</si>
  <si>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</si>
  <si>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</si>
  <si>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</si>
  <si>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</si>
  <si>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</si>
  <si>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</si>
  <si>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</si>
  <si>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</si>
  <si>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</si>
  <si>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</si>
  <si>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</si>
  <si>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</si>
  <si>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</si>
  <si>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</si>
  <si>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</si>
  <si>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</si>
  <si>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</si>
  <si>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</si>
  <si>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</si>
  <si>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</si>
  <si>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</si>
  <si>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</si>
  <si>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</si>
  <si>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</si>
  <si>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</si>
  <si>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</si>
  <si>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</si>
  <si>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</si>
  <si>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</si>
  <si>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</si>
  <si>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</si>
  <si>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</si>
  <si>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</si>
  <si>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</si>
  <si>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</si>
  <si>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</si>
  <si>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</si>
  <si>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</si>
  <si>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</si>
  <si>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</si>
  <si>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</si>
  <si>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</si>
  <si>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</si>
  <si>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</si>
  <si>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</si>
  <si>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</si>
  <si>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</si>
  <si>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</si>
  <si>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</si>
  <si>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</si>
  <si>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</si>
  <si>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</si>
  <si>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</si>
  <si>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</si>
  <si>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</si>
  <si>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</si>
  <si>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</si>
  <si>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</si>
  <si>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</si>
  <si>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</si>
  <si>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</si>
  <si>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</si>
  <si>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</si>
  <si>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</si>
  <si>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</si>
  <si>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</si>
  <si>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</si>
  <si>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</si>
  <si>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</si>
  <si>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</si>
  <si>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</si>
  <si>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</si>
  <si>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</si>
  <si>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</si>
  <si>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</si>
  <si>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</si>
  <si>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</si>
  <si>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</si>
  <si>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</si>
  <si>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</si>
  <si>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</si>
  <si>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</si>
  <si>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</si>
  <si>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</si>
  <si>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</si>
  <si>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</si>
  <si>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</si>
  <si>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</si>
  <si>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</si>
  <si>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</si>
  <si>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</si>
  <si>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</si>
  <si>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</si>
  <si>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</si>
  <si>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</si>
  <si>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</si>
  <si>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</si>
  <si>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</si>
  <si>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</si>
  <si>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</si>
  <si>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</si>
  <si>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</si>
  <si>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</si>
  <si>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</si>
  <si>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</si>
  <si>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</si>
  <si>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</si>
  <si>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</si>
  <si>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</si>
  <si>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</si>
  <si>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</si>
  <si>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</si>
  <si>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</si>
  <si>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</si>
  <si>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</si>
  <si>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</si>
  <si>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</si>
  <si>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</si>
  <si>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</si>
  <si>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</si>
  <si>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</si>
  <si>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</si>
  <si>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</si>
  <si>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</si>
  <si>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</si>
  <si>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</si>
  <si>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</si>
  <si>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</si>
  <si>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</si>
  <si>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</si>
  <si>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</si>
  <si>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</si>
  <si>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</si>
  <si>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</si>
  <si>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</si>
  <si>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</si>
  <si>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</si>
  <si>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</si>
  <si>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</si>
  <si>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</si>
  <si>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</si>
  <si>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</si>
  <si>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</si>
  <si>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</si>
  <si>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</si>
  <si>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</si>
  <si>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</si>
  <si>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</si>
  <si>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</si>
  <si>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</si>
  <si>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</si>
  <si>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</si>
  <si>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</si>
  <si>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</si>
  <si>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</si>
  <si>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</si>
  <si>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</si>
  <si>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</si>
  <si>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</si>
  <si>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</si>
  <si>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</si>
  <si>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</si>
  <si>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</si>
  <si>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</si>
  <si>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</si>
  <si>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</si>
  <si>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</si>
  <si>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</si>
  <si>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</si>
  <si>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</si>
  <si>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</si>
  <si>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</si>
  <si>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</si>
  <si>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</si>
  <si>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</si>
  <si>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</si>
  <si>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</si>
  <si>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</si>
  <si>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</si>
  <si>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</si>
  <si>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</si>
  <si>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</si>
  <si>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</si>
  <si>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</si>
  <si>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</si>
  <si>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</si>
  <si>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</si>
  <si>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</si>
  <si>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</si>
  <si>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</si>
  <si>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</si>
  <si>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</si>
  <si>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</si>
  <si>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</si>
  <si>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</si>
  <si>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</si>
  <si>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</si>
  <si>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</si>
  <si>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</si>
  <si>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</si>
  <si>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</si>
  <si>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</si>
  <si>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</si>
  <si>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</si>
  <si>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</si>
  <si>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</si>
  <si>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</si>
  <si>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</si>
  <si>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</si>
  <si>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</si>
  <si>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</si>
  <si>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</si>
  <si>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</si>
  <si>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</si>
  <si>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</si>
  <si>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</si>
  <si>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</si>
  <si>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</si>
  <si>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</si>
  <si>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</si>
  <si>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</si>
  <si>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</si>
  <si>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</si>
  <si>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</si>
  <si>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</si>
  <si>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</si>
  <si>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</si>
  <si>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</si>
  <si>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</si>
  <si>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</si>
  <si>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</si>
  <si>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</si>
  <si>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</si>
  <si>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</si>
  <si>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</si>
  <si>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</si>
  <si>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</si>
  <si>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</si>
  <si>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</si>
  <si>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</si>
  <si>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</si>
  <si>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</si>
  <si>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</si>
  <si>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</si>
  <si>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</si>
  <si>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</si>
  <si>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</si>
  <si>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</si>
  <si>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</si>
  <si>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</si>
  <si>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</si>
  <si>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</si>
  <si>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</si>
  <si>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</si>
  <si>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</si>
  <si>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</si>
  <si>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</si>
  <si>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</si>
  <si>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</si>
  <si>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</si>
  <si>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</si>
  <si>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</si>
  <si>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</si>
  <si>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</si>
  <si>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</si>
  <si>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</si>
  <si>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</si>
  <si>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</si>
  <si>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</si>
  <si>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</si>
  <si>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</si>
  <si>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</si>
  <si>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</si>
  <si>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</si>
  <si>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</si>
  <si>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</si>
  <si>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</si>
  <si>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</si>
  <si>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</si>
  <si>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</si>
  <si>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</si>
  <si>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</si>
  <si>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</si>
  <si>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</si>
  <si>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</si>
  <si>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</si>
  <si>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</si>
  <si>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</si>
  <si>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</si>
  <si>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</si>
  <si>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</si>
  <si>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</si>
  <si>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</si>
  <si>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</si>
  <si>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</si>
  <si>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</si>
  <si>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</si>
  <si>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</si>
  <si>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</si>
  <si>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</si>
  <si>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</si>
  <si>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</si>
  <si>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</si>
  <si>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</si>
  <si>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</si>
  <si>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</si>
  <si>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</si>
  <si>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</si>
  <si>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</si>
  <si>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</si>
  <si>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</si>
  <si>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</si>
  <si>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</si>
  <si>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</si>
  <si>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</si>
  <si>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</si>
  <si>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</si>
  <si>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</si>
  <si>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</si>
  <si>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</si>
  <si>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</si>
  <si>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</si>
  <si>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</si>
  <si>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</si>
  <si>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</si>
  <si>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</si>
  <si>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</si>
  <si>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</si>
  <si>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</si>
  <si>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</si>
  <si>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</si>
  <si>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</si>
  <si>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</si>
  <si>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</si>
  <si>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</si>
  <si>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</si>
  <si>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</si>
  <si>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</si>
  <si>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</si>
  <si>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</si>
  <si>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</si>
  <si>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</si>
  <si>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</si>
  <si>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</si>
  <si>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</si>
  <si>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</si>
  <si>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</si>
  <si>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</si>
  <si>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</si>
  <si>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</si>
  <si>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</si>
  <si>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</si>
  <si>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</si>
  <si>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</si>
  <si>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</si>
  <si>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</si>
  <si>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</si>
  <si>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</si>
  <si>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</si>
  <si>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</si>
  <si>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</si>
  <si>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</si>
  <si>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</si>
  <si>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</si>
  <si>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</si>
  <si>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</si>
  <si>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</si>
  <si>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</si>
  <si>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</si>
  <si>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</si>
  <si>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</si>
  <si>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</si>
  <si>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</si>
  <si>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</si>
  <si>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</si>
  <si>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</si>
  <si>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</si>
  <si>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</si>
  <si>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</si>
  <si>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</si>
  <si>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</si>
  <si>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</si>
  <si>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</si>
  <si>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</si>
  <si>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</si>
  <si>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</si>
  <si>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</si>
  <si>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</si>
  <si>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</si>
  <si>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</si>
  <si>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</si>
  <si>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</si>
  <si>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</si>
  <si>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</si>
  <si>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</si>
  <si>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</si>
  <si>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</si>
  <si>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</si>
  <si>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</si>
  <si>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</si>
  <si>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</si>
  <si>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</si>
  <si>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</si>
  <si>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</si>
  <si>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</si>
  <si>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</si>
  <si>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</si>
  <si>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</si>
  <si>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</si>
  <si>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</si>
  <si>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</si>
  <si>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</si>
  <si>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</si>
  <si>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</si>
  <si>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</si>
  <si>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</si>
  <si>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</si>
  <si>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</si>
  <si>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</si>
  <si>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</si>
  <si>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</si>
  <si>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</si>
  <si>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</si>
  <si>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</si>
  <si>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</si>
  <si>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</si>
  <si>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</si>
  <si>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</si>
  <si>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</si>
  <si>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</si>
  <si>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</si>
  <si>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</si>
  <si>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</si>
  <si>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</si>
  <si>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</si>
  <si>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</si>
  <si>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</si>
  <si>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</si>
  <si>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</si>
  <si>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</si>
  <si>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</si>
  <si>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</si>
  <si>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</si>
  <si>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</si>
  <si>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</si>
  <si>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</si>
  <si>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</si>
  <si>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</si>
  <si>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</si>
  <si>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</si>
  <si>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</si>
  <si>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</si>
  <si>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</si>
  <si>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</si>
  <si>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</si>
  <si>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</si>
  <si>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</si>
  <si>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</si>
  <si>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</si>
  <si>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</si>
  <si>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</si>
  <si>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</si>
  <si>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</si>
  <si>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</si>
  <si>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</si>
  <si>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</si>
  <si>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</si>
  <si>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</si>
  <si>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</si>
  <si>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</si>
  <si>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</si>
  <si>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</si>
  <si>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</si>
  <si>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</si>
  <si>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</si>
  <si>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</si>
  <si>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</si>
  <si>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</si>
  <si>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</si>
  <si>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</si>
  <si>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</si>
  <si>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</si>
  <si>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</si>
  <si>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</si>
  <si>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</si>
  <si>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</si>
  <si>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</si>
  <si>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</si>
  <si>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</si>
  <si>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</si>
  <si>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</si>
  <si>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</si>
  <si>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</si>
  <si>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</si>
  <si>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</si>
  <si>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</si>
  <si>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</si>
  <si>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</si>
  <si>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</si>
  <si>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</si>
  <si>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</si>
  <si>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</si>
  <si>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</si>
  <si>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</si>
  <si>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</si>
  <si>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</si>
  <si>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</si>
  <si>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</si>
  <si>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</si>
  <si>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</si>
  <si>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</si>
  <si>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</si>
  <si>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</si>
  <si>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</si>
  <si>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</si>
  <si>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</si>
  <si>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</si>
  <si>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</si>
  <si>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</si>
  <si>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</si>
  <si>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</si>
  <si>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</si>
  <si>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</si>
  <si>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</si>
  <si>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</si>
  <si>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</si>
  <si>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</si>
  <si>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</si>
  <si>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</si>
  <si>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</si>
  <si>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</si>
  <si>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</si>
  <si>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</si>
  <si>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</si>
  <si>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</si>
  <si>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</si>
  <si>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</si>
  <si>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</si>
  <si>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</si>
  <si>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</si>
  <si>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</si>
  <si>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</si>
  <si>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</si>
  <si>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</si>
  <si>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</si>
  <si>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</si>
  <si>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</si>
  <si>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</si>
  <si>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</si>
  <si>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</si>
  <si>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</si>
  <si>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</si>
  <si>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</si>
  <si>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</si>
  <si>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</si>
  <si>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</si>
  <si>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</si>
  <si>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</si>
  <si>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</si>
  <si>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</si>
  <si>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</si>
  <si>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</si>
  <si>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</si>
  <si>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</si>
  <si>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</si>
  <si>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</si>
  <si>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</si>
  <si>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</si>
  <si>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</si>
  <si>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</si>
  <si>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</si>
  <si>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</si>
  <si>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</si>
  <si>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</si>
  <si>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</si>
  <si>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</si>
  <si>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</si>
  <si>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</si>
  <si>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</si>
  <si>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</si>
  <si>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</si>
  <si>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</si>
  <si>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</si>
  <si>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</si>
  <si>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</si>
  <si>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</si>
  <si>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</si>
  <si>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</si>
  <si>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</si>
  <si>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</si>
  <si>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</si>
  <si>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</si>
  <si>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</si>
  <si>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</si>
  <si>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</si>
  <si>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</si>
  <si>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</si>
  <si>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</si>
  <si>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</si>
  <si>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</si>
  <si>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</si>
  <si>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</si>
  <si>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</si>
  <si>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</si>
  <si>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</si>
  <si>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</si>
  <si>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</si>
  <si>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</si>
  <si>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</si>
  <si>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</si>
  <si>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</si>
  <si>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</si>
  <si>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</si>
  <si>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</si>
  <si>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</si>
  <si>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</si>
  <si>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</si>
  <si>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</si>
  <si>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</si>
  <si>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</si>
  <si>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</si>
  <si>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</si>
  <si>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</si>
  <si>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</si>
  <si>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</si>
  <si>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</si>
  <si>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</si>
  <si>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</si>
  <si>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</si>
  <si>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</si>
  <si>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</si>
  <si>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</si>
  <si>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</si>
  <si>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</si>
  <si>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</si>
  <si>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</si>
  <si>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</si>
  <si>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</si>
  <si>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</si>
  <si>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</si>
  <si>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</si>
  <si>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</si>
  <si>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</si>
  <si>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</si>
  <si>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</si>
  <si>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</si>
  <si>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</si>
  <si>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</si>
  <si>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</si>
  <si>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</si>
  <si>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</si>
  <si>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</si>
  <si>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</si>
  <si>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</si>
  <si>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</si>
  <si>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</si>
  <si>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</si>
  <si>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</si>
  <si>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</si>
  <si>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</si>
  <si>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</si>
  <si>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</si>
  <si>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</si>
  <si>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</si>
  <si>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</si>
  <si>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</si>
  <si>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</si>
  <si>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</si>
  <si>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</si>
  <si>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</si>
  <si>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</si>
  <si>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</si>
  <si>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</si>
  <si>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</si>
  <si>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</si>
  <si>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</si>
  <si>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</si>
  <si>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</si>
  <si>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</si>
  <si>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</si>
  <si>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</si>
  <si>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</si>
  <si>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</si>
  <si>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</si>
  <si>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</si>
  <si>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</si>
  <si>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</si>
  <si>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</si>
  <si>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</si>
  <si>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</si>
  <si>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</si>
  <si>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</si>
  <si>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</si>
  <si>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</si>
  <si>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</si>
  <si>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</si>
  <si>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</si>
  <si>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</si>
  <si>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</si>
  <si>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</si>
  <si>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</si>
  <si>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</si>
  <si>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</si>
  <si>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</si>
  <si>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</si>
  <si>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</si>
  <si>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</si>
  <si>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</si>
  <si>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</si>
  <si>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</si>
  <si>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</si>
  <si>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</si>
  <si>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</si>
  <si>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</si>
  <si>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</si>
  <si>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</si>
  <si>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</si>
  <si>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</si>
  <si>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</si>
  <si>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</si>
  <si>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</si>
  <si>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</si>
  <si>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</si>
  <si>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</si>
  <si>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</si>
  <si>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</si>
  <si>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</si>
  <si>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</si>
  <si>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</si>
  <si>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</si>
  <si>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</si>
  <si>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</si>
  <si>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</si>
  <si>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</si>
  <si>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</si>
  <si>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</si>
  <si>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</si>
  <si>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</si>
  <si>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</si>
  <si>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</si>
  <si>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</si>
  <si>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</si>
  <si>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</si>
  <si>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</si>
  <si>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</si>
  <si>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</si>
  <si>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</si>
  <si>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</si>
  <si>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</si>
  <si>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</si>
  <si>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</si>
  <si>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</si>
  <si>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</si>
  <si>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</si>
  <si>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</si>
  <si>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</si>
  <si>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</si>
  <si>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</si>
  <si>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</si>
  <si>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</si>
  <si>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</si>
  <si>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</si>
  <si>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</si>
  <si>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</si>
  <si>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</si>
  <si>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</si>
  <si>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</si>
  <si>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</si>
  <si>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</si>
  <si>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</si>
  <si>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</si>
  <si>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</si>
  <si>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</si>
  <si>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</si>
  <si>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</si>
  <si>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</si>
  <si>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</si>
  <si>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</si>
  <si>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</si>
  <si>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</si>
  <si>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</si>
  <si>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</si>
  <si>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</si>
  <si>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</si>
  <si>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</si>
  <si>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</si>
  <si>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</si>
  <si>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</si>
  <si>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</si>
  <si>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</si>
  <si>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</si>
  <si>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</si>
  <si>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</si>
  <si>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</si>
  <si>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</si>
  <si>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</si>
  <si>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</si>
  <si>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</si>
  <si>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</si>
  <si>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</si>
  <si>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</si>
  <si>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</si>
  <si>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</si>
  <si>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</si>
  <si>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</si>
  <si>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</si>
  <si>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</si>
  <si>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</si>
  <si>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</si>
  <si>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</si>
  <si>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</si>
  <si>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</si>
  <si>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</si>
  <si>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</si>
  <si>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</si>
  <si>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</si>
  <si>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</si>
  <si>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</si>
  <si>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</si>
  <si>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</si>
  <si>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</si>
  <si>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</si>
  <si>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</si>
  <si>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</si>
  <si>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</si>
  <si>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</si>
  <si>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</si>
  <si>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</si>
  <si>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</si>
  <si>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</si>
  <si>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</si>
  <si>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</si>
  <si>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</si>
  <si>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</si>
  <si>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</si>
  <si>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</si>
  <si>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</si>
  <si>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</si>
  <si>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</si>
  <si>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</si>
  <si>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</si>
  <si>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</si>
  <si>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</si>
  <si>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</si>
  <si>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</si>
  <si>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</si>
  <si>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</si>
  <si>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</si>
  <si>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</si>
  <si>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</si>
  <si>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</si>
  <si>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</si>
  <si>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</si>
  <si>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</si>
  <si>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</si>
  <si>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</si>
  <si>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</si>
  <si>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</si>
  <si>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</si>
  <si>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</si>
  <si>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</si>
  <si>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</si>
  <si>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</si>
  <si>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</si>
  <si>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</si>
  <si>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</si>
  <si>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</si>
  <si>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</si>
  <si>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</si>
  <si>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</si>
  <si>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</si>
  <si>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</si>
  <si>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</si>
  <si>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</si>
  <si>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</si>
  <si>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</si>
  <si>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</si>
  <si>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</si>
  <si>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</si>
  <si>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</si>
  <si>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</si>
  <si>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</si>
  <si>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</si>
  <si>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</si>
  <si>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</si>
  <si>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</si>
  <si>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</si>
  <si>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</si>
  <si>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</si>
  <si>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</si>
  <si>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</si>
  <si>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</si>
  <si>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</si>
  <si>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</si>
  <si>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</si>
  <si>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</si>
  <si>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</si>
  <si>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</si>
  <si>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</si>
  <si>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</si>
  <si>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</si>
  <si>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</si>
  <si>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</si>
  <si>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</si>
  <si>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</si>
  <si>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</si>
  <si>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</si>
  <si>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</si>
  <si>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</si>
  <si>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</si>
  <si>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</si>
  <si>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</si>
  <si>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</si>
  <si>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</si>
  <si>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</si>
  <si>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</si>
  <si>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</si>
  <si>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</si>
  <si>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</si>
  <si>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</si>
  <si>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</si>
  <si>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</si>
  <si>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</si>
  <si>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</si>
  <si>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</si>
  <si>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</si>
  <si>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</si>
  <si>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</si>
  <si>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</si>
  <si>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</si>
  <si>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</si>
  <si>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</si>
  <si>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</si>
  <si>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</si>
  <si>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</si>
  <si>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</si>
  <si>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</si>
  <si>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</si>
  <si>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</si>
  <si>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</si>
  <si>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</si>
  <si>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</si>
  <si>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</si>
  <si>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</si>
  <si>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</si>
  <si>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</si>
  <si>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</si>
  <si>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</si>
  <si>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</si>
  <si>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</si>
  <si>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</si>
  <si>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</si>
  <si>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</si>
  <si>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</si>
  <si>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</si>
  <si>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</si>
  <si>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</si>
  <si>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</si>
  <si>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</si>
  <si>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</si>
  <si>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</si>
  <si>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</si>
  <si>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</si>
  <si>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</si>
  <si>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</si>
  <si>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</si>
  <si>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</si>
  <si>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</si>
  <si>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</si>
  <si>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</si>
  <si>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</si>
  <si>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</si>
  <si>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</si>
  <si>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</si>
  <si>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</si>
  <si>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</si>
  <si>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</si>
  <si>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</si>
  <si>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</si>
  <si>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</si>
  <si>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</si>
  <si>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</si>
  <si>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</si>
  <si>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</si>
  <si>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</si>
  <si>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</si>
  <si>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</si>
  <si>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</si>
  <si>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</si>
  <si>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</si>
  <si>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</si>
  <si>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</si>
  <si>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</si>
  <si>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</si>
  <si>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</si>
  <si>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</si>
  <si>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</si>
  <si>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</si>
  <si>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</si>
  <si>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</si>
  <si>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</si>
  <si>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</si>
  <si>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</si>
  <si>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</si>
  <si>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</si>
  <si>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</si>
  <si>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</si>
  <si>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</si>
  <si>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</si>
  <si>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</si>
  <si>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</si>
  <si>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</si>
  <si>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</si>
  <si>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</si>
  <si>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</si>
  <si>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</si>
  <si>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</si>
  <si>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</si>
  <si>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</si>
  <si>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</si>
  <si>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</si>
  <si>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</si>
  <si>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</si>
  <si>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</si>
  <si>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</si>
  <si>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</si>
  <si>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</si>
  <si>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</si>
  <si>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</si>
  <si>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</si>
  <si>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</si>
  <si>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</si>
  <si>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</si>
  <si>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</si>
  <si>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</si>
  <si>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</si>
  <si>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</si>
  <si>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</si>
  <si>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</si>
  <si>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</si>
  <si>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</si>
  <si>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</si>
  <si>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</si>
  <si>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</si>
  <si>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</si>
  <si>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</si>
  <si>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</si>
  <si>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</si>
  <si>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</si>
  <si>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</si>
  <si>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</si>
  <si>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</si>
  <si>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</si>
  <si>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</si>
  <si>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</si>
  <si>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</si>
  <si>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</si>
  <si>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</si>
  <si>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</si>
  <si>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</si>
  <si>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</si>
  <si>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</si>
  <si>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</si>
  <si>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</si>
  <si>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</si>
  <si>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</si>
  <si>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</si>
  <si>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</si>
  <si>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</si>
  <si>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</si>
  <si>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</si>
  <si>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</si>
  <si>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</si>
  <si>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</si>
  <si>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</si>
  <si>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</si>
  <si>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</si>
  <si>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</si>
  <si>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</si>
  <si>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</si>
  <si>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</si>
  <si>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</si>
  <si>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</si>
  <si>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</si>
  <si>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</si>
  <si>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</si>
  <si>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</si>
  <si>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</si>
  <si>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</si>
  <si>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</si>
  <si>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</si>
  <si>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</si>
  <si>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</si>
  <si>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</si>
  <si>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</si>
  <si>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</si>
  <si>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</si>
  <si>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</si>
  <si>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</si>
  <si>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</si>
  <si>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</si>
  <si>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</si>
  <si>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</si>
  <si>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</si>
  <si>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</si>
  <si>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</si>
  <si>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</si>
  <si>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</si>
  <si>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</si>
  <si>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</si>
  <si>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</si>
  <si>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</si>
  <si>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</si>
  <si>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</si>
  <si>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</si>
  <si>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</si>
  <si>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</si>
  <si>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</si>
  <si>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</si>
  <si>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</si>
  <si>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</si>
  <si>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</si>
  <si>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</si>
  <si>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</si>
  <si>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</si>
  <si>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</si>
  <si>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</si>
  <si>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</si>
  <si>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</si>
  <si>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</si>
  <si>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</si>
  <si>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</si>
  <si>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</si>
  <si>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</si>
  <si>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</si>
  <si>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</si>
  <si>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</si>
  <si>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</si>
  <si>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</si>
  <si>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</si>
  <si>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</si>
  <si>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</si>
  <si>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</si>
  <si>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</si>
  <si>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</si>
  <si>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</si>
  <si>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</si>
  <si>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</si>
  <si>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</si>
  <si>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</si>
  <si>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</si>
  <si>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</si>
  <si>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</si>
  <si>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</si>
  <si>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</si>
  <si>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</si>
  <si>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</si>
  <si>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</si>
  <si>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</si>
  <si>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</si>
  <si>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</si>
  <si>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</si>
  <si>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</si>
  <si>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</si>
  <si>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</si>
  <si>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</si>
  <si>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</si>
  <si>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</si>
  <si>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</si>
  <si>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</si>
  <si>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</si>
  <si>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</si>
  <si>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</si>
  <si>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</si>
  <si>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</si>
  <si>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</si>
  <si>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</si>
  <si>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</si>
  <si>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</si>
  <si>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</si>
  <si>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</si>
  <si>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</si>
  <si>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</si>
  <si>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</si>
  <si>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</si>
  <si>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</si>
  <si>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</si>
  <si>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</si>
  <si>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</si>
  <si>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</si>
  <si>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</si>
  <si>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</si>
  <si>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</si>
  <si>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</si>
  <si>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</si>
  <si>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</si>
  <si>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</si>
  <si>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</si>
  <si>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</si>
  <si>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</si>
  <si>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</si>
  <si>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</si>
  <si>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</si>
  <si>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</si>
  <si>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</si>
  <si>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</si>
  <si>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</si>
  <si>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</si>
  <si>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</si>
  <si>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</si>
  <si>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</si>
  <si>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</si>
  <si>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</si>
  <si>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</si>
  <si>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</si>
  <si>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</si>
  <si>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</si>
  <si>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</si>
  <si>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</si>
  <si>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</si>
  <si>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</si>
  <si>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</si>
  <si>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</si>
  <si>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</si>
  <si>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</si>
  <si>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</si>
  <si>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</si>
  <si>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</si>
  <si>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</si>
  <si>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</si>
  <si>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</si>
  <si>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</si>
  <si>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</si>
  <si>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</si>
  <si>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</si>
  <si>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</si>
  <si>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</si>
  <si>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</si>
  <si>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</si>
  <si>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</si>
  <si>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</si>
  <si>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</si>
  <si>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</si>
  <si>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</si>
  <si>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</si>
  <si>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</si>
  <si>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</si>
  <si>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</si>
  <si>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</si>
  <si>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</si>
  <si>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</si>
  <si>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</si>
  <si>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</si>
  <si>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</si>
  <si>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</si>
  <si>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</si>
  <si>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</si>
  <si>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</si>
  <si>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</si>
  <si>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</si>
  <si>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</si>
  <si>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</si>
  <si>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</si>
  <si>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</si>
  <si>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</si>
  <si>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</si>
  <si>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</si>
  <si>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</si>
  <si>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</si>
  <si>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</si>
  <si>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</si>
  <si>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</si>
  <si>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</si>
  <si>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</si>
  <si>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</si>
  <si>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</si>
  <si>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</si>
  <si>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</si>
  <si>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</si>
  <si>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</si>
  <si>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</si>
  <si>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</si>
  <si>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</si>
  <si>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</si>
  <si>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</si>
  <si>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</si>
  <si>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</si>
  <si>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</si>
  <si>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</si>
  <si>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</si>
  <si>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</si>
  <si>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</si>
  <si>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</si>
  <si>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</si>
  <si>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</si>
  <si>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</si>
  <si>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</si>
  <si>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</si>
  <si>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</si>
  <si>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</si>
  <si>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</si>
  <si>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</si>
  <si>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</si>
  <si>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</si>
  <si>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</si>
  <si>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</si>
  <si>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</si>
  <si>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</si>
  <si>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</si>
  <si>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</si>
  <si>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</si>
  <si>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</si>
  <si>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</si>
  <si>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</si>
  <si>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</si>
  <si>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</si>
  <si>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</si>
  <si>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</si>
  <si>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</si>
  <si>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</si>
  <si>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</si>
  <si>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</si>
  <si>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</si>
  <si>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</si>
  <si>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</si>
  <si>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</si>
  <si>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</si>
  <si>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</si>
  <si>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</si>
  <si>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</si>
  <si>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</si>
  <si>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</si>
  <si>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</si>
  <si>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</si>
  <si>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</si>
  <si>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</si>
  <si>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</si>
  <si>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</si>
  <si>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</si>
  <si>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</si>
  <si>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</si>
  <si>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</si>
  <si>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</si>
  <si>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</si>
  <si>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</si>
  <si>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</si>
  <si>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</si>
  <si>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</si>
  <si>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</si>
  <si>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</si>
  <si>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</si>
  <si>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</si>
  <si>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</si>
  <si>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</si>
  <si>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</si>
  <si>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</si>
  <si>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</si>
  <si>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</si>
  <si>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</si>
  <si>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</si>
  <si>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</si>
  <si>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</si>
  <si>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</si>
  <si>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</si>
  <si>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</si>
  <si>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</si>
  <si>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</si>
  <si>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</si>
  <si>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</si>
  <si>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</si>
  <si>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</si>
  <si>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</si>
  <si>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</si>
  <si>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</si>
  <si>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</si>
  <si>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</si>
  <si>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</si>
  <si>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</si>
  <si>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</si>
  <si>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</si>
  <si>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</si>
  <si>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</si>
  <si>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</si>
  <si>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</si>
  <si>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</si>
  <si>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</si>
  <si>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</si>
  <si>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</si>
  <si>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</si>
  <si>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</si>
  <si>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</si>
  <si>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</si>
  <si>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</si>
  <si>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</si>
  <si>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</si>
  <si>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</si>
  <si>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</si>
  <si>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</si>
  <si>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</si>
  <si>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</si>
  <si>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</si>
  <si>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</si>
  <si>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</si>
  <si>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</si>
  <si>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</si>
  <si>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</si>
  <si>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</si>
  <si>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</si>
  <si>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</si>
  <si>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</si>
  <si>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</si>
  <si>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</si>
  <si>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</si>
  <si>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</si>
  <si>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</si>
  <si>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</si>
  <si>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</si>
  <si>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</si>
  <si>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</si>
  <si>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</si>
  <si>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</si>
  <si>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</si>
  <si>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</si>
  <si>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</si>
  <si>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</si>
  <si>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</si>
  <si>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</si>
  <si>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</si>
  <si>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</si>
  <si>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</si>
  <si>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</si>
  <si>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</si>
  <si>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</si>
  <si>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</si>
  <si>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</si>
  <si>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</si>
  <si>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</si>
  <si>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</si>
  <si>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</si>
  <si>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</si>
  <si>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</si>
  <si>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</si>
  <si>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</si>
  <si>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</si>
  <si>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</si>
  <si>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</si>
  <si>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</si>
  <si>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</si>
  <si>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</si>
  <si>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</si>
  <si>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</si>
  <si>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</si>
  <si>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</si>
  <si>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</si>
  <si>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</si>
  <si>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</si>
  <si>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</si>
  <si>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</si>
  <si>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</si>
  <si>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</si>
  <si>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</si>
  <si>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</si>
  <si>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</si>
  <si>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</si>
  <si>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</si>
  <si>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</si>
  <si>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</si>
  <si>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</si>
  <si>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</si>
  <si>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</si>
  <si>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</si>
  <si>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</si>
  <si>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</si>
  <si>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</si>
  <si>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</si>
  <si>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</si>
  <si>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</si>
  <si>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</si>
  <si>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</si>
  <si>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</si>
  <si>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</si>
  <si>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</si>
  <si>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</si>
  <si>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</si>
  <si>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</si>
  <si>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</si>
  <si>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</si>
  <si>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</si>
  <si>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</si>
  <si>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</si>
  <si>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</si>
  <si>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</si>
  <si>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</si>
  <si>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</si>
  <si>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</si>
  <si>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</si>
  <si>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</si>
  <si>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</si>
  <si>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</si>
  <si>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</si>
  <si>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</si>
  <si>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</si>
  <si>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</si>
  <si>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</si>
  <si>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</si>
  <si>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</si>
  <si>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</si>
  <si>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</si>
  <si>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</si>
  <si>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</si>
  <si>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</si>
  <si>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</si>
  <si>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</si>
  <si>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</si>
  <si>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</si>
  <si>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</si>
  <si>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</si>
  <si>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</si>
  <si>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</si>
  <si>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</si>
  <si>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</si>
  <si>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</si>
  <si>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</si>
  <si>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</si>
  <si>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</si>
  <si>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</si>
  <si>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</si>
  <si>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</si>
  <si>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</si>
  <si>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</si>
  <si>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</si>
  <si>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</si>
  <si>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</si>
  <si>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</si>
  <si>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</si>
  <si>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</si>
  <si>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</si>
  <si>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</si>
  <si>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</si>
  <si>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</si>
  <si>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</si>
  <si>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</si>
  <si>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</si>
  <si>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</si>
  <si>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</si>
  <si>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</si>
  <si>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</si>
  <si>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</si>
  <si>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</si>
  <si>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</si>
  <si>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</si>
  <si>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</si>
  <si>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</si>
  <si>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</si>
  <si>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</si>
  <si>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</si>
  <si>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</si>
  <si>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</si>
  <si>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</si>
  <si>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</si>
  <si>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</si>
  <si>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</si>
  <si>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</si>
  <si>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</si>
  <si>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</si>
  <si>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</si>
  <si>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</si>
  <si>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</si>
  <si>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</si>
  <si>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</si>
  <si>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</si>
  <si>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</si>
  <si>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</si>
  <si>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</si>
  <si>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</si>
  <si>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</si>
  <si>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</si>
  <si>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</si>
  <si>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</si>
  <si>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</si>
  <si>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</si>
  <si>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</si>
  <si>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</si>
  <si>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</si>
  <si>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</si>
  <si>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</si>
  <si>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</si>
  <si>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</si>
  <si>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</si>
  <si>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</si>
  <si>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</si>
  <si>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</si>
  <si>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</si>
  <si>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</si>
  <si>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</si>
  <si>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</si>
  <si>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</si>
  <si>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</si>
  <si>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</si>
  <si>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</si>
  <si>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</si>
  <si>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</si>
  <si>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</si>
  <si>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</si>
  <si>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</si>
  <si>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</si>
  <si>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</si>
  <si>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</si>
  <si>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</si>
  <si>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</si>
  <si>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</si>
  <si>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</si>
  <si>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</si>
  <si>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</si>
  <si>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</si>
  <si>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</si>
  <si>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</si>
  <si>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</si>
  <si>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</si>
  <si>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</si>
  <si>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</si>
  <si>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</si>
  <si>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</si>
  <si>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</si>
  <si>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</si>
  <si>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</si>
  <si>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</si>
  <si>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</si>
  <si>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</si>
  <si>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</si>
  <si>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</si>
  <si>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</si>
  <si>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</si>
  <si>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</si>
  <si>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</si>
  <si>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</si>
  <si>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</si>
  <si>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</si>
  <si>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</si>
  <si>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</si>
  <si>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</si>
  <si>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</si>
  <si>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</si>
  <si>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</si>
  <si>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</si>
  <si>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</si>
  <si>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</si>
  <si>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</si>
  <si>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</si>
  <si>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</si>
  <si>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</si>
  <si>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</si>
  <si>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</si>
  <si>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</si>
  <si>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</si>
  <si>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</si>
  <si>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</si>
  <si>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</si>
  <si>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</si>
  <si>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</si>
  <si>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</si>
  <si>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</si>
  <si>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</si>
  <si>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</si>
  <si>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</si>
  <si>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</si>
  <si>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</si>
  <si>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</si>
  <si>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</si>
  <si>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</si>
  <si>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</si>
  <si>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</si>
  <si>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</si>
  <si>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</si>
  <si>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</si>
  <si>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</si>
  <si>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</si>
  <si>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</si>
  <si>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</si>
  <si>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</si>
  <si>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</si>
  <si>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</si>
  <si>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</si>
  <si>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</si>
  <si>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</si>
  <si>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</si>
  <si>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</si>
  <si>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</si>
  <si>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</si>
  <si>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</si>
  <si>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</si>
  <si>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</si>
  <si>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</si>
  <si>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</si>
  <si>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</si>
  <si>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</si>
  <si>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</si>
  <si>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</si>
  <si>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</si>
  <si>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</si>
  <si>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</si>
  <si>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</si>
  <si>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</si>
  <si>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</si>
  <si>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</si>
  <si>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</si>
  <si>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</si>
  <si>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</si>
  <si>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</si>
  <si>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</si>
  <si>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</si>
  <si>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</si>
  <si>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</si>
  <si>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</si>
  <si>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</si>
  <si>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</si>
  <si>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</si>
  <si>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</si>
  <si>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</si>
  <si>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</si>
  <si>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</si>
  <si>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</si>
  <si>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</si>
  <si>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</si>
  <si>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</si>
  <si>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</si>
  <si>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</si>
  <si>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</si>
  <si>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</si>
  <si>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</si>
  <si>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</si>
  <si>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</si>
  <si>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</si>
  <si>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</si>
  <si>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</si>
  <si>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</si>
  <si>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</si>
  <si>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</si>
  <si>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</si>
  <si>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</si>
  <si>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</si>
  <si>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</si>
  <si>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</si>
  <si>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</si>
  <si>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</si>
  <si>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</si>
  <si>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</si>
  <si>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</si>
  <si>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</si>
  <si>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</si>
  <si>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</si>
  <si>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</si>
  <si>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</si>
  <si>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</si>
  <si>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</si>
  <si>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</si>
  <si>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</si>
  <si>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</si>
  <si>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</si>
  <si>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</si>
  <si>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</si>
  <si>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</si>
  <si>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</si>
  <si>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</si>
  <si>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</si>
  <si>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</si>
  <si>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</si>
  <si>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</si>
  <si>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</si>
  <si>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</si>
  <si>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</si>
  <si>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</si>
  <si>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</si>
  <si>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</si>
  <si>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</si>
  <si>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</si>
  <si>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</si>
  <si>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</si>
  <si>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</si>
  <si>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</si>
  <si>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</si>
  <si>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</si>
  <si>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</si>
  <si>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</si>
  <si>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</si>
  <si>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</si>
  <si>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</si>
  <si>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</si>
  <si>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</si>
  <si>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</si>
  <si>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</si>
  <si>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</si>
  <si>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</si>
  <si>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</si>
  <si>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</si>
  <si>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</si>
  <si>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</si>
  <si>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</si>
  <si>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</si>
  <si>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</si>
  <si>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</si>
  <si>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</si>
  <si>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</si>
  <si>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</si>
  <si>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</si>
  <si>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</si>
  <si>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</si>
  <si>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</si>
  <si>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</si>
  <si>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</si>
  <si>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</si>
  <si>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</si>
  <si>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</si>
  <si>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</si>
  <si>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</si>
  <si>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</si>
  <si>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</si>
  <si>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</si>
  <si>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</si>
  <si>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</si>
  <si>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</si>
  <si>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</si>
  <si>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</si>
  <si>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</si>
  <si>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</si>
  <si>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</si>
  <si>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</si>
  <si>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</si>
  <si>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</si>
  <si>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</si>
  <si>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</si>
  <si>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</si>
  <si>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</si>
  <si>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</si>
  <si>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</si>
  <si>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</si>
  <si>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</si>
  <si>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</si>
  <si>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</si>
  <si>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</si>
  <si>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</si>
  <si>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</si>
  <si>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</si>
  <si>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</si>
  <si>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</si>
  <si>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</si>
  <si>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</si>
  <si>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</si>
  <si>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</si>
  <si>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</si>
  <si>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</si>
  <si>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</si>
  <si>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</si>
  <si>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</si>
  <si>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</si>
  <si>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</si>
  <si>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</si>
  <si>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</si>
  <si>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</si>
  <si>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</si>
  <si>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</si>
  <si>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</si>
  <si>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</si>
  <si>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</si>
  <si>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</si>
  <si>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</si>
  <si>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</si>
  <si>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</si>
  <si>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</si>
  <si>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</si>
  <si>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</si>
  <si>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</si>
  <si>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</si>
  <si>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</si>
  <si>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</si>
  <si>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</si>
  <si>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</si>
  <si>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</si>
  <si>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</si>
  <si>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</si>
  <si>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</si>
  <si>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</si>
  <si>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</si>
  <si>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</si>
  <si>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</si>
  <si>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</si>
  <si>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</si>
  <si>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</si>
  <si>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</si>
  <si>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</si>
  <si>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</si>
  <si>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</si>
  <si>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</si>
  <si>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</si>
  <si>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</si>
  <si>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</si>
  <si>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</si>
  <si>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</si>
  <si>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</si>
  <si>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</si>
  <si>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</si>
  <si>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</si>
  <si>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</si>
  <si>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</si>
  <si>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</si>
  <si>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</si>
  <si>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</si>
  <si>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</si>
  <si>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</si>
  <si>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</si>
  <si>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</si>
  <si>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</si>
  <si>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</si>
  <si>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</si>
  <si>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</si>
  <si>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</si>
  <si>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</si>
  <si>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</si>
  <si>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</si>
  <si>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</si>
  <si>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</si>
  <si>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</si>
  <si>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</si>
  <si>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</si>
  <si>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</si>
  <si>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</si>
  <si>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</si>
  <si>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</si>
  <si>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</si>
  <si>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</si>
  <si>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</si>
  <si>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</si>
  <si>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</si>
  <si>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</si>
  <si>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</si>
  <si>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</si>
  <si>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</si>
  <si>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</si>
  <si>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</si>
  <si>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</si>
  <si>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</si>
  <si>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</si>
  <si>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</si>
  <si>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</si>
  <si>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</si>
  <si>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</si>
  <si>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</si>
  <si>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</si>
  <si>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</si>
  <si>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</si>
  <si>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</si>
  <si>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</si>
  <si>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</si>
  <si>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</si>
  <si>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</si>
  <si>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</si>
  <si>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</si>
  <si>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</si>
  <si>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</si>
  <si>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</si>
  <si>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</si>
  <si>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</si>
  <si>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</si>
  <si>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</si>
  <si>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</si>
  <si>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</si>
  <si>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</si>
  <si>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</si>
  <si>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</si>
  <si>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</si>
  <si>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</si>
  <si>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</si>
  <si>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</si>
  <si>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</si>
  <si>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</si>
  <si>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</si>
  <si>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</si>
  <si>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</si>
  <si>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</si>
  <si>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</si>
  <si>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</si>
  <si>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</si>
  <si>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</si>
  <si>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</si>
  <si>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</si>
  <si>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</si>
  <si>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</si>
  <si>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</si>
  <si>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</si>
  <si>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</si>
  <si>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</si>
  <si>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</si>
  <si>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</si>
  <si>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</si>
  <si>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</si>
  <si>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</si>
  <si>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</si>
  <si>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</si>
  <si>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</si>
  <si>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</si>
  <si>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</si>
  <si>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</si>
  <si>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</si>
  <si>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</si>
  <si>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</si>
  <si>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</si>
  <si>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</si>
  <si>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</si>
  <si>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</si>
  <si>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</si>
  <si>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</si>
  <si>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</si>
  <si>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</si>
  <si>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</si>
  <si>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</si>
  <si>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</si>
  <si>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</si>
  <si>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</si>
  <si>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</si>
  <si>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</si>
  <si>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</si>
  <si>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</si>
  <si>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</si>
  <si>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</si>
  <si>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</si>
  <si>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</si>
  <si>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</si>
  <si>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</si>
  <si>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</si>
  <si>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</si>
  <si>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</si>
  <si>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</si>
  <si>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</si>
  <si>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</si>
  <si>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</si>
  <si>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</si>
  <si>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</si>
  <si>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</si>
  <si>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</si>
  <si>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</si>
  <si>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</si>
  <si>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</si>
  <si>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</si>
  <si>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</si>
  <si>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</si>
  <si>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</si>
  <si>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</si>
  <si>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</si>
  <si>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</si>
  <si>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</si>
  <si>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</si>
  <si>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</si>
  <si>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</si>
  <si>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</si>
  <si>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</si>
  <si>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</si>
  <si>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</si>
  <si>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</si>
  <si>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</si>
  <si>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</si>
  <si>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</si>
  <si>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</si>
  <si>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</si>
  <si>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</si>
  <si>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</si>
  <si>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</si>
  <si>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</si>
  <si>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</si>
  <si>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</si>
  <si>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</si>
  <si>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</si>
  <si>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</si>
  <si>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</si>
  <si>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</si>
  <si>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</si>
  <si>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</si>
  <si>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</si>
  <si>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</si>
  <si>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</si>
  <si>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</si>
  <si>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</si>
  <si>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</si>
  <si>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</si>
  <si>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</si>
  <si>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</si>
  <si>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</si>
  <si>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</si>
  <si>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</si>
  <si>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</si>
  <si>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</si>
  <si>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</si>
  <si>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</si>
  <si>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</si>
  <si>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</si>
  <si>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</si>
  <si>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</si>
  <si>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</si>
  <si>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</si>
  <si>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</si>
  <si>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</si>
  <si>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</si>
  <si>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</si>
  <si>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</si>
  <si>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</si>
  <si>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</si>
  <si>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</si>
  <si>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</si>
  <si>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</si>
  <si>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</si>
  <si>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</si>
  <si>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</si>
  <si>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</si>
  <si>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</si>
  <si>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</si>
  <si>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</si>
  <si>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</si>
  <si>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</si>
  <si>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</si>
  <si>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</si>
  <si>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</si>
  <si>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</si>
  <si>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</si>
  <si>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</si>
  <si>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</si>
  <si>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</si>
  <si>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</si>
  <si>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</si>
  <si>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</si>
  <si>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</si>
  <si>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</si>
  <si>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</si>
  <si>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</si>
  <si>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</si>
  <si>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</si>
  <si>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</si>
  <si>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</si>
  <si>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</si>
  <si>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</si>
  <si>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</si>
  <si>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</si>
  <si>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</si>
  <si>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</si>
  <si>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</si>
  <si>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</si>
  <si>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</si>
  <si>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</si>
  <si>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</si>
  <si>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</si>
  <si>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</si>
  <si>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</si>
  <si>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</si>
  <si>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</si>
  <si>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</si>
  <si>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</si>
  <si>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</si>
  <si>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</si>
  <si>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</si>
  <si>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</si>
  <si>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</si>
  <si>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</si>
  <si>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</si>
  <si>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</si>
  <si>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</si>
  <si>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</si>
  <si>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</si>
  <si>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</si>
  <si>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</si>
  <si>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</si>
  <si>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</si>
  <si>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</si>
  <si>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</si>
  <si>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</si>
  <si>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</si>
  <si>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</si>
  <si>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</si>
  <si>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</si>
  <si>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</si>
  <si>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</si>
  <si>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</si>
  <si>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</si>
  <si>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</si>
  <si>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</si>
  <si>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</si>
  <si>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</si>
  <si>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</si>
  <si>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</si>
  <si>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</si>
  <si>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</si>
  <si>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</si>
  <si>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</si>
  <si>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</si>
  <si>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</si>
  <si>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</si>
  <si>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</si>
  <si>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</si>
  <si>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</si>
  <si>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</si>
  <si>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</si>
  <si>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</si>
  <si>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</si>
  <si>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</si>
  <si>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</si>
  <si>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</si>
  <si>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</si>
  <si>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</si>
  <si>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</si>
  <si>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</si>
  <si>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</si>
  <si>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</si>
  <si>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</si>
  <si>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</si>
  <si>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</si>
  <si>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</si>
  <si>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</si>
  <si>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</si>
  <si>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</si>
  <si>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</si>
  <si>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</si>
  <si>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</si>
  <si>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</si>
  <si>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</si>
  <si>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</si>
  <si>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</si>
  <si>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</si>
  <si>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</si>
  <si>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</si>
  <si>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</si>
  <si>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</si>
  <si>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</si>
  <si>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</si>
  <si>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</si>
  <si>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</si>
  <si>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</si>
  <si>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</si>
  <si>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</si>
  <si>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</si>
  <si>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</si>
  <si>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</si>
  <si>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</si>
  <si>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</si>
  <si>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</si>
  <si>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</si>
  <si>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</si>
  <si>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</si>
  <si>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</si>
  <si>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</si>
  <si>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</si>
  <si>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</si>
  <si>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</si>
  <si>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</si>
  <si>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</si>
  <si>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</si>
  <si>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</si>
  <si>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</si>
  <si>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</si>
  <si>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</si>
  <si>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</si>
  <si>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</si>
  <si>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</si>
  <si>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</si>
  <si>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</si>
  <si>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</si>
  <si>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</si>
  <si>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</si>
  <si>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</si>
  <si>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</si>
  <si>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</si>
  <si>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</si>
  <si>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</si>
  <si>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</si>
  <si>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</si>
  <si>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</si>
  <si>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</si>
  <si>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</si>
  <si>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</si>
  <si>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</si>
  <si>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</si>
  <si>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</si>
  <si>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</si>
  <si>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</si>
  <si>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</si>
  <si>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</si>
  <si>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</si>
  <si>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</si>
  <si>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</si>
  <si>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</si>
  <si>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</si>
  <si>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</si>
  <si>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</si>
  <si>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</si>
  <si>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</si>
  <si>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</si>
  <si>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</si>
  <si>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</si>
  <si>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</si>
  <si>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</si>
  <si>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</si>
  <si>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</si>
  <si>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</si>
  <si>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</si>
  <si>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</si>
  <si>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</si>
  <si>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</si>
  <si>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</si>
  <si>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</si>
  <si>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</si>
  <si>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</si>
  <si>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</si>
  <si>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</si>
  <si>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</si>
  <si>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</si>
  <si>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</si>
  <si>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</si>
  <si>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</si>
  <si>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</si>
  <si>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</si>
  <si>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</si>
  <si>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</si>
  <si>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</si>
  <si>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</si>
  <si>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</si>
  <si>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</si>
  <si>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</si>
  <si>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</si>
  <si>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</si>
  <si>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</si>
  <si>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</si>
  <si>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</si>
  <si>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</si>
  <si>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</si>
  <si>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</si>
  <si>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</si>
  <si>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</si>
  <si>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</si>
  <si>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</si>
  <si>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</si>
  <si>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</si>
  <si>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</si>
  <si>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</si>
  <si>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</si>
  <si>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</si>
  <si>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</si>
  <si>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</si>
  <si>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</si>
  <si>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</si>
  <si>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</si>
  <si>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</si>
  <si>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</si>
  <si>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</si>
  <si>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</si>
  <si>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</si>
  <si>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</si>
  <si>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</si>
  <si>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</si>
  <si>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</si>
  <si>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</si>
  <si>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</si>
  <si>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</si>
  <si>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</si>
  <si>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</si>
  <si>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</si>
  <si>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</si>
  <si>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</si>
  <si>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</si>
  <si>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</si>
  <si>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</si>
  <si>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</si>
  <si>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</si>
  <si>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</si>
  <si>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</si>
  <si>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</si>
  <si>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</si>
  <si>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</si>
  <si>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</si>
  <si>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</si>
  <si>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</si>
  <si>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</si>
  <si>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</si>
  <si>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</si>
  <si>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</si>
  <si>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</si>
  <si>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</si>
  <si>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</si>
  <si>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</si>
  <si>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</si>
  <si>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</si>
  <si>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</si>
  <si>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</si>
  <si>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</si>
  <si>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</si>
  <si>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</si>
  <si>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</si>
  <si>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</si>
  <si>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</si>
  <si>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</si>
  <si>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</si>
  <si>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</si>
  <si>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</si>
  <si>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</si>
  <si>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</si>
  <si>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</si>
  <si>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</si>
  <si>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</si>
  <si>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</si>
  <si>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</si>
  <si>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</si>
  <si>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</si>
  <si>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</si>
  <si>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</si>
  <si>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</si>
  <si>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</si>
  <si>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</si>
  <si>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</si>
  <si>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</si>
  <si>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</si>
  <si>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</si>
  <si>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</si>
  <si>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</si>
  <si>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</si>
  <si>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</si>
  <si>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</si>
  <si>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</si>
  <si>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</si>
  <si>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</si>
  <si>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</si>
  <si>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</si>
  <si>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</si>
  <si>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</si>
  <si>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</si>
  <si>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</si>
  <si>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</si>
  <si>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</si>
  <si>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</si>
  <si>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</si>
  <si>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</si>
  <si>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</si>
  <si>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</si>
  <si>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</si>
  <si>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</si>
  <si>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</si>
  <si>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</si>
  <si>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</si>
  <si>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</si>
  <si>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</si>
  <si>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</si>
  <si>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</si>
  <si>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</si>
  <si>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</si>
  <si>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</si>
  <si>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</si>
  <si>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</si>
  <si>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</si>
  <si>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</si>
  <si>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</si>
  <si>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</si>
  <si>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</si>
  <si>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</si>
  <si>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</si>
  <si>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</si>
  <si>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</si>
  <si>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</si>
  <si>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</si>
  <si>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</si>
  <si>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</si>
  <si>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</si>
  <si>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</si>
  <si>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</si>
  <si>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</si>
  <si>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</si>
  <si>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</si>
  <si>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</si>
  <si>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</si>
  <si>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</si>
  <si>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</si>
  <si>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</si>
  <si>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</si>
  <si>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</si>
  <si>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</si>
  <si>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</si>
  <si>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</si>
  <si>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</si>
  <si>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</si>
  <si>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</si>
  <si>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</si>
  <si>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</si>
  <si>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</si>
  <si>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</si>
  <si>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</si>
  <si>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</si>
  <si>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</si>
  <si>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</si>
  <si>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</si>
  <si>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</si>
  <si>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</si>
  <si>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</si>
  <si>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</si>
  <si>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</si>
  <si>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</si>
  <si>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</si>
  <si>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</si>
  <si>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</si>
  <si>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</si>
  <si>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</si>
  <si>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</si>
  <si>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</si>
  <si>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</si>
  <si>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</si>
  <si>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</si>
  <si>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</si>
  <si>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</si>
  <si>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</si>
  <si>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</si>
  <si>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</si>
  <si>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</si>
  <si>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</si>
  <si>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</si>
  <si>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</si>
  <si>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</si>
  <si>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</si>
  <si>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</si>
  <si>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</si>
  <si>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</si>
  <si>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</si>
  <si>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</si>
  <si>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</si>
  <si>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</si>
  <si>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</si>
  <si>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</si>
  <si>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</si>
  <si>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</si>
  <si>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</si>
  <si>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</si>
  <si>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</si>
  <si>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</si>
  <si>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</si>
  <si>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</si>
  <si>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</si>
  <si>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</si>
  <si>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</si>
  <si>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</si>
  <si>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</si>
  <si>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</si>
  <si>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</si>
  <si>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</si>
  <si>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</si>
  <si>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</si>
  <si>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</si>
  <si>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</si>
  <si>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</si>
  <si>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</si>
  <si>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</si>
  <si>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</si>
  <si>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</si>
  <si>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</si>
  <si>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</si>
  <si>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</si>
  <si>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</si>
  <si>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</si>
  <si>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</si>
  <si>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</si>
  <si>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</si>
  <si>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</si>
  <si>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</si>
  <si>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</si>
  <si>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</si>
  <si>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</si>
  <si>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</si>
  <si>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</si>
  <si>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</si>
  <si>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</si>
  <si>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</si>
  <si>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</si>
  <si>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</si>
  <si>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</si>
  <si>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</si>
  <si>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</si>
  <si>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</si>
  <si>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</si>
  <si>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</si>
  <si>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</si>
  <si>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</si>
  <si>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</si>
  <si>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</si>
  <si>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</si>
  <si>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</si>
  <si>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</si>
  <si>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</si>
  <si>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</si>
  <si>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</si>
  <si>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</si>
  <si>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</si>
  <si>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</si>
  <si>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</si>
  <si>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</si>
  <si>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</si>
  <si>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</si>
  <si>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</si>
  <si>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</si>
  <si>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</si>
  <si>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</si>
  <si>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</si>
  <si>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</si>
  <si>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</si>
  <si>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</si>
  <si>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</si>
  <si>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</si>
  <si>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</si>
  <si>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</si>
  <si>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</si>
  <si>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</si>
  <si>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</si>
  <si>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</si>
  <si>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</si>
  <si>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</si>
  <si>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2019</t>
  </si>
  <si>
    <t>2020</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</si>
  <si>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</si>
  <si>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</si>
  <si>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</si>
  <si>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</si>
  <si>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</si>
  <si>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</si>
  <si>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</si>
  <si>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</si>
  <si>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</si>
  <si>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</si>
  <si>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</si>
  <si>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</si>
  <si>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</si>
  <si>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</si>
  <si>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</si>
  <si>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</si>
  <si>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</si>
  <si>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</si>
  <si>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</si>
  <si>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Roast Type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</si>
</sst>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7" formatCode="dd\-mmm\-yyyy"/>
    <numFmt numFmtId="168" formatCode="0.0&quot;Kg&quot;"/>
    <numFmt numFmtId="169" formatCode="&quot;$&quot;#,##0.00"/>
    <numFmt numFmtId="171"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7" fontId="1" fillId="0" borderId="0" xfId="0" applyNumberFormat="1" applyFont="1" applyAlignment="1">
      <alignment vertical="center"/>
    </xf>
    <xf numFmtId="168" fontId="0" fillId="0" borderId="0" xfId="0" applyNumberFormat="1"/>
    <xf numFmtId="169" fontId="0" fillId="0" borderId="0" xfId="0" applyNumberFormat="1"/>
    <xf numFmtId="0" fontId="0" fillId="0" borderId="0" xfId="0" pivotButton="1"/>
    <xf numFmtId="1" fontId="0" fillId="0" borderId="0" xfId="0" applyNumberFormat="1"/>
    <xf numFmtId="171" fontId="0" fillId="0" borderId="0" xfId="0" applyNumberFormat="1"/>
  </cellXfs>
  <cellStyles count="1">
    <cellStyle name="Normal" xfId="0" builtinId="0"/>
  </cellStyles>
  <dxfs count="56">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font>
        <b/>
        <i val="0"/>
        <color theme="0"/>
        <name val="Calibri"/>
        <family val="2"/>
        <scheme val="minor"/>
      </font>
    </dxf>
    <dxf>
      <font>
        <b val="0"/>
        <i val="0"/>
        <color theme="0"/>
        <name val="Calibri"/>
        <family val="2"/>
        <scheme val="minor"/>
      </font>
      <fill>
        <patternFill>
          <bgColor rgb="FF009900"/>
        </patternFill>
      </fill>
    </dxf>
    <dxf>
      <numFmt numFmtId="0" formatCode="General"/>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009900"/>
        </patternFill>
      </fill>
      <border>
        <left style="thin">
          <color rgb="FF009900"/>
        </left>
        <right style="thin">
          <color rgb="FF009900"/>
        </right>
        <top style="thin">
          <color rgb="FF009900"/>
        </top>
        <bottom style="thin">
          <color rgb="FF009900"/>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quot;$&quot;#,##0.00"/>
    </dxf>
    <dxf>
      <numFmt numFmtId="169" formatCode="&quot;$&quot;#,##0.00"/>
    </dxf>
    <dxf>
      <numFmt numFmtId="168"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Green Slicer Style" pivot="0" table="0" count="6" xr9:uid="{4508FBC0-55FB-491A-899F-9E80542EC761}">
      <tableStyleElement type="wholeTable" dxfId="41"/>
      <tableStyleElement type="headerRow" dxfId="40"/>
    </tableStyle>
    <tableStyle name="Green Timeline Style" pivot="0" table="0" count="8" xr9:uid="{4F512CBC-189B-45F8-97AB-877856DEF9A7}">
      <tableStyleElement type="wholeTable" dxfId="44"/>
      <tableStyleElement type="headerRow" dxfId="43"/>
    </tableStyle>
  </tableStyles>
  <colors>
    <mruColors>
      <color rgb="FF009900"/>
      <color rgb="FF6E2F9D"/>
      <color rgb="FFB685DB"/>
      <color rgb="FF9C5ACE"/>
      <color rgb="FF9954CC"/>
      <color rgb="FF8D42C6"/>
      <color rgb="FF461E64"/>
      <color rgb="FF13BD5C"/>
      <color rgb="FF268109"/>
      <color rgb="FF97DDBD"/>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border>
            <left style="thin">
              <color theme="0"/>
            </left>
            <right style="thin">
              <color theme="0"/>
            </right>
            <top style="thin">
              <color theme="0"/>
            </top>
            <bottom style="thin">
              <color theme="0"/>
            </bottom>
          </border>
        </dxf>
        <dxf>
          <font>
            <b val="0"/>
            <i val="0"/>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Green Slicer Style">
        <x14:slicerStyle name="Green Slicer Styl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bgColor theme="0"/>
            </patternFill>
          </fill>
        </dxf>
        <dxf>
          <fill>
            <patternFill patternType="solid">
              <fgColor theme="0"/>
              <bgColor rgb="FF13BD5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Green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Dashbaord Project.xlsx]Total Sales!Total Sales</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Sales Over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B320BE"/>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lumMod val="75000"/>
              </a:schemeClr>
            </a:solidFill>
            <a:round/>
          </a:ln>
          <a:effectLst/>
        </c:spPr>
        <c:marker>
          <c:symbol val="none"/>
        </c:marker>
      </c:pivotFmt>
      <c:pivotFmt>
        <c:idx val="5"/>
        <c:spPr>
          <a:solidFill>
            <a:schemeClr val="accent1"/>
          </a:solidFill>
          <a:ln w="28575" cap="rnd">
            <a:solidFill>
              <a:schemeClr val="accent5">
                <a:lumMod val="75000"/>
              </a:schemeClr>
            </a:solidFill>
            <a:round/>
          </a:ln>
          <a:effectLst/>
        </c:spPr>
        <c:marker>
          <c:symbol val="none"/>
        </c:marker>
      </c:pivotFmt>
      <c:pivotFmt>
        <c:idx val="6"/>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5">
                <a:lumMod val="75000"/>
              </a:schemeClr>
            </a:solidFill>
            <a:round/>
          </a:ln>
          <a:effectLst/>
        </c:spPr>
        <c:marker>
          <c:symbol val="none"/>
        </c:marker>
      </c:pivotFmt>
      <c:pivotFmt>
        <c:idx val="8"/>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B320B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5">
                <a:lumMod val="75000"/>
              </a:schemeClr>
            </a:solidFill>
            <a:round/>
          </a:ln>
          <a:effectLst/>
        </c:spPr>
        <c:marker>
          <c:symbol val="none"/>
        </c:marker>
      </c:pivotFmt>
      <c:pivotFmt>
        <c:idx val="13"/>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B320B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lumMod val="75000"/>
                </a:schemeClr>
              </a:solidFill>
              <a:round/>
            </a:ln>
            <a:effectLst/>
          </c:spPr>
          <c:marker>
            <c:symbol val="none"/>
          </c:marker>
          <c:dPt>
            <c:idx val="32"/>
            <c:marker>
              <c:symbol val="none"/>
            </c:marker>
            <c:bubble3D val="0"/>
            <c:extLst>
              <c:ext xmlns:c16="http://schemas.microsoft.com/office/drawing/2014/chart" uri="{C3380CC4-5D6E-409C-BE32-E72D297353CC}">
                <c16:uniqueId val="{00000001-BBBD-465B-8146-4D702F383D60}"/>
              </c:ext>
            </c:extLst>
          </c:dPt>
          <c:cat>
            <c:multiLvlStrRef>
              <c:f>'Total Sales'!$A$5:$B$22</c:f>
              <c:multiLvlStrCache>
                <c:ptCount val="18"/>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lvl>
                <c:lvl>
                  <c:pt idx="0">
                    <c:v>2019</c:v>
                  </c:pt>
                  <c:pt idx="8">
                    <c:v>2020</c:v>
                  </c:pt>
                </c:lvl>
              </c:multiLvlStrCache>
            </c:multiLvlStrRef>
          </c:cat>
          <c:val>
            <c:numRef>
              <c:f>'Total Sales'!$C$5:$C$22</c:f>
              <c:numCache>
                <c:formatCode>0</c:formatCode>
                <c:ptCount val="18"/>
                <c:pt idx="0">
                  <c:v>53.664999999999992</c:v>
                </c:pt>
                <c:pt idx="1">
                  <c:v>163.01999999999998</c:v>
                </c:pt>
                <c:pt idx="2">
                  <c:v>345.02</c:v>
                </c:pt>
                <c:pt idx="3">
                  <c:v>334.89</c:v>
                </c:pt>
                <c:pt idx="4">
                  <c:v>178.70999999999998</c:v>
                </c:pt>
                <c:pt idx="5">
                  <c:v>301.98499999999996</c:v>
                </c:pt>
                <c:pt idx="6">
                  <c:v>312.83499999999998</c:v>
                </c:pt>
                <c:pt idx="7">
                  <c:v>265.62</c:v>
                </c:pt>
                <c:pt idx="8">
                  <c:v>47.25</c:v>
                </c:pt>
                <c:pt idx="9">
                  <c:v>745.44999999999993</c:v>
                </c:pt>
                <c:pt idx="10">
                  <c:v>130.47</c:v>
                </c:pt>
                <c:pt idx="11">
                  <c:v>27</c:v>
                </c:pt>
                <c:pt idx="12">
                  <c:v>255.11499999999995</c:v>
                </c:pt>
                <c:pt idx="13">
                  <c:v>584.79</c:v>
                </c:pt>
                <c:pt idx="14">
                  <c:v>430.61999999999995</c:v>
                </c:pt>
                <c:pt idx="15">
                  <c:v>22.5</c:v>
                </c:pt>
                <c:pt idx="16">
                  <c:v>126.14999999999999</c:v>
                </c:pt>
                <c:pt idx="17">
                  <c:v>376.03</c:v>
                </c:pt>
              </c:numCache>
            </c:numRef>
          </c:val>
          <c:smooth val="0"/>
          <c:extLst>
            <c:ext xmlns:c16="http://schemas.microsoft.com/office/drawing/2014/chart" uri="{C3380CC4-5D6E-409C-BE32-E72D297353CC}">
              <c16:uniqueId val="{00000002-BBBD-465B-8146-4D702F383D60}"/>
            </c:ext>
          </c:extLst>
        </c:ser>
        <c:ser>
          <c:idx val="1"/>
          <c:order val="1"/>
          <c:tx>
            <c:strRef>
              <c:f>'Total Sales'!$D$3:$D$4</c:f>
              <c:strCache>
                <c:ptCount val="1"/>
                <c:pt idx="0">
                  <c:v>Excelsa</c:v>
                </c:pt>
              </c:strCache>
            </c:strRef>
          </c:tx>
          <c:spPr>
            <a:ln w="28575" cap="rnd">
              <a:solidFill>
                <a:schemeClr val="accent2">
                  <a:lumMod val="75000"/>
                </a:schemeClr>
              </a:solidFill>
              <a:round/>
            </a:ln>
            <a:effectLst/>
          </c:spPr>
          <c:marker>
            <c:symbol val="none"/>
          </c:marker>
          <c:cat>
            <c:multiLvlStrRef>
              <c:f>'Total Sales'!$A$5:$B$22</c:f>
              <c:multiLvlStrCache>
                <c:ptCount val="18"/>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lvl>
                <c:lvl>
                  <c:pt idx="0">
                    <c:v>2019</c:v>
                  </c:pt>
                  <c:pt idx="8">
                    <c:v>2020</c:v>
                  </c:pt>
                </c:lvl>
              </c:multiLvlStrCache>
            </c:multiLvlStrRef>
          </c:cat>
          <c:val>
            <c:numRef>
              <c:f>'Total Sales'!$D$5:$D$22</c:f>
              <c:numCache>
                <c:formatCode>0</c:formatCode>
                <c:ptCount val="18"/>
                <c:pt idx="0">
                  <c:v>83.025000000000006</c:v>
                </c:pt>
                <c:pt idx="1">
                  <c:v>678.3599999999999</c:v>
                </c:pt>
                <c:pt idx="2">
                  <c:v>273.86999999999995</c:v>
                </c:pt>
                <c:pt idx="3">
                  <c:v>70.95</c:v>
                </c:pt>
                <c:pt idx="4">
                  <c:v>166.1</c:v>
                </c:pt>
                <c:pt idx="5">
                  <c:v>153.76499999999999</c:v>
                </c:pt>
                <c:pt idx="6">
                  <c:v>63.249999999999993</c:v>
                </c:pt>
                <c:pt idx="7">
                  <c:v>526.51499999999987</c:v>
                </c:pt>
                <c:pt idx="8">
                  <c:v>65.805000000000007</c:v>
                </c:pt>
                <c:pt idx="9">
                  <c:v>428.88499999999999</c:v>
                </c:pt>
                <c:pt idx="10">
                  <c:v>271.48500000000001</c:v>
                </c:pt>
                <c:pt idx="11">
                  <c:v>347.26</c:v>
                </c:pt>
                <c:pt idx="12">
                  <c:v>541.73</c:v>
                </c:pt>
                <c:pt idx="13">
                  <c:v>357.42999999999989</c:v>
                </c:pt>
                <c:pt idx="14">
                  <c:v>227.42500000000001</c:v>
                </c:pt>
                <c:pt idx="15">
                  <c:v>77.72</c:v>
                </c:pt>
                <c:pt idx="16">
                  <c:v>195.11</c:v>
                </c:pt>
                <c:pt idx="17">
                  <c:v>523.24</c:v>
                </c:pt>
              </c:numCache>
            </c:numRef>
          </c:val>
          <c:smooth val="0"/>
          <c:extLst>
            <c:ext xmlns:c16="http://schemas.microsoft.com/office/drawing/2014/chart" uri="{C3380CC4-5D6E-409C-BE32-E72D297353CC}">
              <c16:uniqueId val="{00000003-BBBD-465B-8146-4D702F383D60}"/>
            </c:ext>
          </c:extLst>
        </c:ser>
        <c:ser>
          <c:idx val="2"/>
          <c:order val="2"/>
          <c:tx>
            <c:strRef>
              <c:f>'Total Sales'!$E$3:$E$4</c:f>
              <c:strCache>
                <c:ptCount val="1"/>
                <c:pt idx="0">
                  <c:v>Liberica</c:v>
                </c:pt>
              </c:strCache>
            </c:strRef>
          </c:tx>
          <c:spPr>
            <a:ln w="28575" cap="rnd">
              <a:solidFill>
                <a:srgbClr val="B320BE"/>
              </a:solidFill>
              <a:round/>
            </a:ln>
            <a:effectLst/>
          </c:spPr>
          <c:marker>
            <c:symbol val="none"/>
          </c:marker>
          <c:cat>
            <c:multiLvlStrRef>
              <c:f>'Total Sales'!$A$5:$B$22</c:f>
              <c:multiLvlStrCache>
                <c:ptCount val="18"/>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lvl>
                <c:lvl>
                  <c:pt idx="0">
                    <c:v>2019</c:v>
                  </c:pt>
                  <c:pt idx="8">
                    <c:v>2020</c:v>
                  </c:pt>
                </c:lvl>
              </c:multiLvlStrCache>
            </c:multiLvlStrRef>
          </c:cat>
          <c:val>
            <c:numRef>
              <c:f>'Total Sales'!$E$5:$E$22</c:f>
              <c:numCache>
                <c:formatCode>0</c:formatCode>
                <c:ptCount val="18"/>
                <c:pt idx="0">
                  <c:v>193.83499999999998</c:v>
                </c:pt>
                <c:pt idx="1">
                  <c:v>171.04499999999999</c:v>
                </c:pt>
                <c:pt idx="2">
                  <c:v>184.13</c:v>
                </c:pt>
                <c:pt idx="3">
                  <c:v>134.23000000000002</c:v>
                </c:pt>
                <c:pt idx="4">
                  <c:v>439.30999999999995</c:v>
                </c:pt>
                <c:pt idx="5">
                  <c:v>215.55499999999998</c:v>
                </c:pt>
                <c:pt idx="6">
                  <c:v>350.89499999999998</c:v>
                </c:pt>
                <c:pt idx="7">
                  <c:v>187.05999999999997</c:v>
                </c:pt>
                <c:pt idx="8">
                  <c:v>274.67500000000001</c:v>
                </c:pt>
                <c:pt idx="9">
                  <c:v>194.17500000000001</c:v>
                </c:pt>
                <c:pt idx="10">
                  <c:v>281.20499999999998</c:v>
                </c:pt>
                <c:pt idx="11">
                  <c:v>147.51000000000002</c:v>
                </c:pt>
                <c:pt idx="12">
                  <c:v>83.429999999999993</c:v>
                </c:pt>
                <c:pt idx="13">
                  <c:v>355.34</c:v>
                </c:pt>
                <c:pt idx="14">
                  <c:v>236.315</c:v>
                </c:pt>
                <c:pt idx="15">
                  <c:v>60.5</c:v>
                </c:pt>
                <c:pt idx="16">
                  <c:v>89.13</c:v>
                </c:pt>
                <c:pt idx="17">
                  <c:v>440.96499999999992</c:v>
                </c:pt>
              </c:numCache>
            </c:numRef>
          </c:val>
          <c:smooth val="0"/>
          <c:extLst>
            <c:ext xmlns:c16="http://schemas.microsoft.com/office/drawing/2014/chart" uri="{C3380CC4-5D6E-409C-BE32-E72D297353CC}">
              <c16:uniqueId val="{00000004-BBBD-465B-8146-4D702F383D60}"/>
            </c:ext>
          </c:extLst>
        </c:ser>
        <c:ser>
          <c:idx val="3"/>
          <c:order val="3"/>
          <c:tx>
            <c:strRef>
              <c:f>'Total Sales'!$F$3:$F$4</c:f>
              <c:strCache>
                <c:ptCount val="1"/>
                <c:pt idx="0">
                  <c:v>Robusta</c:v>
                </c:pt>
              </c:strCache>
            </c:strRef>
          </c:tx>
          <c:spPr>
            <a:ln w="28575" cap="rnd">
              <a:solidFill>
                <a:schemeClr val="accent4">
                  <a:lumMod val="60000"/>
                  <a:lumOff val="40000"/>
                </a:schemeClr>
              </a:solidFill>
              <a:round/>
            </a:ln>
            <a:effectLst/>
          </c:spPr>
          <c:marker>
            <c:symbol val="none"/>
          </c:marker>
          <c:cat>
            <c:multiLvlStrRef>
              <c:f>'Total Sales'!$A$5:$B$22</c:f>
              <c:multiLvlStrCache>
                <c:ptCount val="18"/>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lvl>
                <c:lvl>
                  <c:pt idx="0">
                    <c:v>2019</c:v>
                  </c:pt>
                  <c:pt idx="8">
                    <c:v>2020</c:v>
                  </c:pt>
                </c:lvl>
              </c:multiLvlStrCache>
            </c:multiLvlStrRef>
          </c:cat>
          <c:val>
            <c:numRef>
              <c:f>'Total Sales'!$F$5:$F$22</c:f>
              <c:numCache>
                <c:formatCode>0</c:formatCode>
                <c:ptCount val="18"/>
                <c:pt idx="0">
                  <c:v>68.039999999999992</c:v>
                </c:pt>
                <c:pt idx="1">
                  <c:v>372.255</c:v>
                </c:pt>
                <c:pt idx="2">
                  <c:v>201.11499999999998</c:v>
                </c:pt>
                <c:pt idx="3">
                  <c:v>166.27499999999998</c:v>
                </c:pt>
                <c:pt idx="4">
                  <c:v>492.89999999999992</c:v>
                </c:pt>
                <c:pt idx="5">
                  <c:v>213.66499999999999</c:v>
                </c:pt>
                <c:pt idx="6">
                  <c:v>96.404999999999987</c:v>
                </c:pt>
                <c:pt idx="7">
                  <c:v>210.58999999999997</c:v>
                </c:pt>
                <c:pt idx="8">
                  <c:v>179.21999999999997</c:v>
                </c:pt>
                <c:pt idx="9">
                  <c:v>429.83</c:v>
                </c:pt>
                <c:pt idx="10">
                  <c:v>231.63</c:v>
                </c:pt>
                <c:pt idx="11">
                  <c:v>240.04</c:v>
                </c:pt>
                <c:pt idx="12">
                  <c:v>59.079999999999991</c:v>
                </c:pt>
                <c:pt idx="13">
                  <c:v>140.87999999999997</c:v>
                </c:pt>
                <c:pt idx="14">
                  <c:v>414.58499999999998</c:v>
                </c:pt>
                <c:pt idx="15">
                  <c:v>139.67999999999998</c:v>
                </c:pt>
                <c:pt idx="16">
                  <c:v>302.65999999999997</c:v>
                </c:pt>
                <c:pt idx="17">
                  <c:v>174.46999999999997</c:v>
                </c:pt>
              </c:numCache>
            </c:numRef>
          </c:val>
          <c:smooth val="0"/>
          <c:extLst>
            <c:ext xmlns:c16="http://schemas.microsoft.com/office/drawing/2014/chart" uri="{C3380CC4-5D6E-409C-BE32-E72D297353CC}">
              <c16:uniqueId val="{00000005-BBBD-465B-8146-4D702F383D60}"/>
            </c:ext>
          </c:extLst>
        </c:ser>
        <c:dLbls>
          <c:showLegendKey val="0"/>
          <c:showVal val="0"/>
          <c:showCatName val="0"/>
          <c:showSerName val="0"/>
          <c:showPercent val="0"/>
          <c:showBubbleSize val="0"/>
        </c:dLbls>
        <c:smooth val="0"/>
        <c:axId val="1778437632"/>
        <c:axId val="1778439072"/>
      </c:lineChart>
      <c:catAx>
        <c:axId val="177843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8439072"/>
        <c:crosses val="autoZero"/>
        <c:auto val="1"/>
        <c:lblAlgn val="ctr"/>
        <c:lblOffset val="100"/>
        <c:noMultiLvlLbl val="0"/>
      </c:catAx>
      <c:valAx>
        <c:axId val="1778439072"/>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843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7DDBD"/>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Dashbaord Project.xlsx]Country Bar Chart!Total Sales</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6E2F9D"/>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E2F9D"/>
          </a:solidFill>
          <a:ln w="25400">
            <a:solidFill>
              <a:schemeClr val="bg1"/>
            </a:solidFill>
          </a:ln>
          <a:effectLst/>
        </c:spPr>
      </c:pivotFmt>
      <c:pivotFmt>
        <c:idx val="2"/>
        <c:spPr>
          <a:solidFill>
            <a:srgbClr val="9C5ACE"/>
          </a:solidFill>
          <a:ln w="25400">
            <a:solidFill>
              <a:schemeClr val="bg1"/>
            </a:solidFill>
          </a:ln>
          <a:effectLst/>
        </c:spPr>
      </c:pivotFmt>
      <c:pivotFmt>
        <c:idx val="3"/>
        <c:spPr>
          <a:solidFill>
            <a:srgbClr val="B685DB"/>
          </a:solidFill>
          <a:ln w="25400">
            <a:solidFill>
              <a:schemeClr val="bg1"/>
            </a:solidFill>
          </a:ln>
          <a:effectLst/>
        </c:spPr>
      </c:pivotFmt>
      <c:pivotFmt>
        <c:idx val="4"/>
        <c:spPr>
          <a:solidFill>
            <a:srgbClr val="6E2F9D"/>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685DB"/>
          </a:solidFill>
          <a:ln w="25400">
            <a:solidFill>
              <a:schemeClr val="bg1"/>
            </a:solidFill>
          </a:ln>
          <a:effectLst/>
        </c:spPr>
      </c:pivotFmt>
      <c:pivotFmt>
        <c:idx val="6"/>
        <c:spPr>
          <a:solidFill>
            <a:srgbClr val="9C5ACE"/>
          </a:solidFill>
          <a:ln w="25400">
            <a:solidFill>
              <a:schemeClr val="bg1"/>
            </a:solidFill>
          </a:ln>
          <a:effectLst/>
        </c:spPr>
      </c:pivotFmt>
      <c:pivotFmt>
        <c:idx val="7"/>
        <c:spPr>
          <a:solidFill>
            <a:srgbClr val="6E2F9D"/>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685DB"/>
          </a:solidFill>
          <a:ln w="25400">
            <a:solidFill>
              <a:schemeClr val="bg1"/>
            </a:solidFill>
          </a:ln>
          <a:effectLst/>
        </c:spPr>
      </c:pivotFmt>
      <c:pivotFmt>
        <c:idx val="9"/>
        <c:spPr>
          <a:solidFill>
            <a:srgbClr val="9C5ACE"/>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6E2F9D"/>
            </a:solidFill>
            <a:ln w="25400">
              <a:solidFill>
                <a:schemeClr val="bg1"/>
              </a:solidFill>
            </a:ln>
            <a:effectLst/>
          </c:spPr>
          <c:invertIfNegative val="0"/>
          <c:dPt>
            <c:idx val="0"/>
            <c:invertIfNegative val="0"/>
            <c:bubble3D val="0"/>
            <c:spPr>
              <a:solidFill>
                <a:srgbClr val="B685DB"/>
              </a:solidFill>
              <a:ln w="25400">
                <a:solidFill>
                  <a:schemeClr val="bg1"/>
                </a:solidFill>
              </a:ln>
              <a:effectLst/>
            </c:spPr>
            <c:extLst>
              <c:ext xmlns:c16="http://schemas.microsoft.com/office/drawing/2014/chart" uri="{C3380CC4-5D6E-409C-BE32-E72D297353CC}">
                <c16:uniqueId val="{00000001-DE95-4A51-AE2B-407B8BCA17E8}"/>
              </c:ext>
            </c:extLst>
          </c:dPt>
          <c:dPt>
            <c:idx val="1"/>
            <c:invertIfNegative val="0"/>
            <c:bubble3D val="0"/>
            <c:spPr>
              <a:solidFill>
                <a:srgbClr val="9C5ACE"/>
              </a:solidFill>
              <a:ln w="25400">
                <a:solidFill>
                  <a:schemeClr val="bg1"/>
                </a:solidFill>
              </a:ln>
              <a:effectLst/>
            </c:spPr>
            <c:extLst>
              <c:ext xmlns:c16="http://schemas.microsoft.com/office/drawing/2014/chart" uri="{C3380CC4-5D6E-409C-BE32-E72D297353CC}">
                <c16:uniqueId val="{00000003-DE95-4A51-AE2B-407B8BCA17E8}"/>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"$"#,##0</c:formatCode>
                <c:ptCount val="3"/>
                <c:pt idx="0">
                  <c:v>1380.4599999999998</c:v>
                </c:pt>
                <c:pt idx="1">
                  <c:v>2509.5150000000008</c:v>
                </c:pt>
                <c:pt idx="2">
                  <c:v>14035.694999999991</c:v>
                </c:pt>
              </c:numCache>
            </c:numRef>
          </c:val>
          <c:extLst>
            <c:ext xmlns:c16="http://schemas.microsoft.com/office/drawing/2014/chart" uri="{C3380CC4-5D6E-409C-BE32-E72D297353CC}">
              <c16:uniqueId val="{00000004-DE95-4A51-AE2B-407B8BCA17E8}"/>
            </c:ext>
          </c:extLst>
        </c:ser>
        <c:dLbls>
          <c:dLblPos val="outEnd"/>
          <c:showLegendKey val="0"/>
          <c:showVal val="1"/>
          <c:showCatName val="0"/>
          <c:showSerName val="0"/>
          <c:showPercent val="0"/>
          <c:showBubbleSize val="0"/>
        </c:dLbls>
        <c:gapWidth val="182"/>
        <c:axId val="1814303056"/>
        <c:axId val="1814323216"/>
      </c:barChart>
      <c:catAx>
        <c:axId val="181430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14323216"/>
        <c:crosses val="autoZero"/>
        <c:auto val="1"/>
        <c:lblAlgn val="ctr"/>
        <c:lblOffset val="100"/>
        <c:noMultiLvlLbl val="0"/>
      </c:catAx>
      <c:valAx>
        <c:axId val="1814323216"/>
        <c:scaling>
          <c:orientation val="minMax"/>
        </c:scaling>
        <c:delete val="0"/>
        <c:axPos val="b"/>
        <c:majorGridlines>
          <c:spPr>
            <a:ln w="9525" cap="flat" cmpd="sng" algn="ctr">
              <a:solidFill>
                <a:schemeClr val="bg1">
                  <a:lumMod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14303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7DDBD"/>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Dashbaord Project.xlsx]Top 5 Customers!Total Sales</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a:t>
            </a:r>
            <a:r>
              <a:rPr lang="en-US" baseline="0"/>
              <a:t> 5 Customer</a:t>
            </a:r>
            <a:r>
              <a:rPr lang="en-US"/>
              <a:t>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6E2F9D"/>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E2F9D"/>
          </a:solidFill>
          <a:ln w="25400">
            <a:solidFill>
              <a:schemeClr val="bg1"/>
            </a:solidFill>
          </a:ln>
          <a:effectLst/>
        </c:spPr>
      </c:pivotFmt>
      <c:pivotFmt>
        <c:idx val="2"/>
        <c:spPr>
          <a:solidFill>
            <a:srgbClr val="9C5ACE"/>
          </a:solidFill>
          <a:ln w="25400">
            <a:solidFill>
              <a:schemeClr val="bg1"/>
            </a:solidFill>
          </a:ln>
          <a:effectLst/>
        </c:spPr>
      </c:pivotFmt>
      <c:pivotFmt>
        <c:idx val="3"/>
        <c:spPr>
          <a:solidFill>
            <a:srgbClr val="B685DB"/>
          </a:solidFill>
          <a:ln w="25400">
            <a:solidFill>
              <a:schemeClr val="bg1"/>
            </a:solidFill>
          </a:ln>
          <a:effectLst/>
        </c:spPr>
      </c:pivotFmt>
      <c:pivotFmt>
        <c:idx val="4"/>
        <c:spPr>
          <a:solidFill>
            <a:srgbClr val="6E2F9D"/>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685DB"/>
          </a:solidFill>
          <a:ln w="25400">
            <a:solidFill>
              <a:schemeClr val="bg1"/>
            </a:solidFill>
          </a:ln>
          <a:effectLst/>
        </c:spPr>
      </c:pivotFmt>
      <c:pivotFmt>
        <c:idx val="6"/>
        <c:spPr>
          <a:solidFill>
            <a:srgbClr val="9C5ACE"/>
          </a:solidFill>
          <a:ln w="25400">
            <a:solidFill>
              <a:schemeClr val="bg1"/>
            </a:solidFill>
          </a:ln>
          <a:effectLst/>
        </c:spPr>
      </c:pivotFmt>
      <c:pivotFmt>
        <c:idx val="7"/>
        <c:spPr>
          <a:solidFill>
            <a:srgbClr val="6E2F9D"/>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E2F9D"/>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6E2F9D"/>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5D58-46E0-B58A-C912C097CF23}"/>
              </c:ext>
            </c:extLst>
          </c:dPt>
          <c:dPt>
            <c:idx val="1"/>
            <c:invertIfNegative val="0"/>
            <c:bubble3D val="0"/>
            <c:extLst>
              <c:ext xmlns:c16="http://schemas.microsoft.com/office/drawing/2014/chart" uri="{C3380CC4-5D6E-409C-BE32-E72D297353CC}">
                <c16:uniqueId val="{00000001-5D58-46E0-B58A-C912C097CF23}"/>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Customers'!$A$4:$A$11</c:f>
              <c:strCache>
                <c:ptCount val="8"/>
                <c:pt idx="0">
                  <c:v>Elysee Sketch</c:v>
                </c:pt>
                <c:pt idx="1">
                  <c:v>Daniel Heinonen</c:v>
                </c:pt>
                <c:pt idx="2">
                  <c:v>Shelli Keynd</c:v>
                </c:pt>
                <c:pt idx="3">
                  <c:v>Nanny Lush</c:v>
                </c:pt>
                <c:pt idx="4">
                  <c:v>Terri Farra</c:v>
                </c:pt>
                <c:pt idx="5">
                  <c:v>Don Flintiff</c:v>
                </c:pt>
                <c:pt idx="6">
                  <c:v>Allis Wilmore</c:v>
                </c:pt>
                <c:pt idx="7">
                  <c:v>Brice Romera</c:v>
                </c:pt>
              </c:strCache>
            </c:strRef>
          </c:cat>
          <c:val>
            <c:numRef>
              <c:f>'Top 5 Customers'!$B$4:$B$11</c:f>
              <c:numCache>
                <c:formatCode>"$"#,##0</c:formatCode>
                <c:ptCount val="8"/>
                <c:pt idx="0">
                  <c:v>204.92999999999995</c:v>
                </c:pt>
                <c:pt idx="1">
                  <c:v>204.92999999999995</c:v>
                </c:pt>
                <c:pt idx="2">
                  <c:v>204.92999999999995</c:v>
                </c:pt>
                <c:pt idx="3">
                  <c:v>204.92999999999995</c:v>
                </c:pt>
                <c:pt idx="4">
                  <c:v>211.40999999999997</c:v>
                </c:pt>
                <c:pt idx="5">
                  <c:v>219.81</c:v>
                </c:pt>
                <c:pt idx="6">
                  <c:v>237.81999999999996</c:v>
                </c:pt>
                <c:pt idx="7">
                  <c:v>246.20999999999998</c:v>
                </c:pt>
              </c:numCache>
            </c:numRef>
          </c:val>
          <c:extLst>
            <c:ext xmlns:c16="http://schemas.microsoft.com/office/drawing/2014/chart" uri="{C3380CC4-5D6E-409C-BE32-E72D297353CC}">
              <c16:uniqueId val="{00000002-5D58-46E0-B58A-C912C097CF23}"/>
            </c:ext>
          </c:extLst>
        </c:ser>
        <c:dLbls>
          <c:dLblPos val="outEnd"/>
          <c:showLegendKey val="0"/>
          <c:showVal val="1"/>
          <c:showCatName val="0"/>
          <c:showSerName val="0"/>
          <c:showPercent val="0"/>
          <c:showBubbleSize val="0"/>
        </c:dLbls>
        <c:gapWidth val="182"/>
        <c:axId val="1814303056"/>
        <c:axId val="1814323216"/>
      </c:barChart>
      <c:catAx>
        <c:axId val="181430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14323216"/>
        <c:crosses val="autoZero"/>
        <c:auto val="1"/>
        <c:lblAlgn val="ctr"/>
        <c:lblOffset val="100"/>
        <c:noMultiLvlLbl val="0"/>
      </c:catAx>
      <c:valAx>
        <c:axId val="1814323216"/>
        <c:scaling>
          <c:orientation val="minMax"/>
        </c:scaling>
        <c:delete val="0"/>
        <c:axPos val="b"/>
        <c:majorGridlines>
          <c:spPr>
            <a:ln w="9525" cap="flat" cmpd="sng" algn="ctr">
              <a:solidFill>
                <a:schemeClr val="bg1">
                  <a:lumMod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14303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7DDBD"/>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6350</xdr:colOff>
      <xdr:row>1</xdr:row>
      <xdr:rowOff>0</xdr:rowOff>
    </xdr:from>
    <xdr:to>
      <xdr:col>26</xdr:col>
      <xdr:colOff>0</xdr:colOff>
      <xdr:row>5</xdr:row>
      <xdr:rowOff>0</xdr:rowOff>
    </xdr:to>
    <xdr:sp macro="" textlink="">
      <xdr:nvSpPr>
        <xdr:cNvPr id="7" name="Rectangle 6">
          <a:extLst>
            <a:ext uri="{FF2B5EF4-FFF2-40B4-BE49-F238E27FC236}">
              <a16:creationId xmlns:a16="http://schemas.microsoft.com/office/drawing/2014/main" id="{F391275E-F536-29F5-64E2-300318994CDF}"/>
            </a:ext>
          </a:extLst>
        </xdr:cNvPr>
        <xdr:cNvSpPr/>
      </xdr:nvSpPr>
      <xdr:spPr>
        <a:xfrm>
          <a:off x="120650" y="66675"/>
          <a:ext cx="15233650" cy="723900"/>
        </a:xfrm>
        <a:prstGeom prst="rect">
          <a:avLst/>
        </a:prstGeom>
        <a:solidFill>
          <a:srgbClr val="009900"/>
        </a:solidFill>
        <a:ln>
          <a:solidFill>
            <a:srgbClr val="00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COFFEE SALES DASHBOARD</a:t>
          </a:r>
        </a:p>
      </xdr:txBody>
    </xdr:sp>
    <xdr:clientData/>
  </xdr:twoCellAnchor>
  <xdr:twoCellAnchor>
    <xdr:from>
      <xdr:col>1</xdr:col>
      <xdr:colOff>19049</xdr:colOff>
      <xdr:row>15</xdr:row>
      <xdr:rowOff>44449</xdr:rowOff>
    </xdr:from>
    <xdr:to>
      <xdr:col>16</xdr:col>
      <xdr:colOff>295274</xdr:colOff>
      <xdr:row>41</xdr:row>
      <xdr:rowOff>161924</xdr:rowOff>
    </xdr:to>
    <xdr:graphicFrame macro="">
      <xdr:nvGraphicFramePr>
        <xdr:cNvPr id="8" name="Chart 7">
          <a:extLst>
            <a:ext uri="{FF2B5EF4-FFF2-40B4-BE49-F238E27FC236}">
              <a16:creationId xmlns:a16="http://schemas.microsoft.com/office/drawing/2014/main" id="{D24197EF-3884-4B5C-A4D2-D96566CFD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31749</xdr:colOff>
      <xdr:row>6</xdr:row>
      <xdr:rowOff>25401</xdr:rowOff>
    </xdr:from>
    <xdr:to>
      <xdr:col>18</xdr:col>
      <xdr:colOff>561975</xdr:colOff>
      <xdr:row>14</xdr:row>
      <xdr:rowOff>158751</xdr:rowOff>
    </xdr:to>
    <mc:AlternateContent xmlns:mc="http://schemas.openxmlformats.org/markup-compatibility/2006">
      <mc:Choice xmlns:tsle="http://schemas.microsoft.com/office/drawing/2012/timeslicer" Requires="tsle">
        <xdr:graphicFrame macro="">
          <xdr:nvGraphicFramePr>
            <xdr:cNvPr id="9" name="Order Date">
              <a:extLst>
                <a:ext uri="{FF2B5EF4-FFF2-40B4-BE49-F238E27FC236}">
                  <a16:creationId xmlns:a16="http://schemas.microsoft.com/office/drawing/2014/main" id="{E73773EF-7EBC-4960-A8A6-FA466CFC09C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42874" y="1000126"/>
              <a:ext cx="10893426" cy="15811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25400</xdr:colOff>
      <xdr:row>10</xdr:row>
      <xdr:rowOff>1</xdr:rowOff>
    </xdr:from>
    <xdr:to>
      <xdr:col>22</xdr:col>
      <xdr:colOff>593724</xdr:colOff>
      <xdr:row>15</xdr:row>
      <xdr:rowOff>9525</xdr:rowOff>
    </xdr:to>
    <mc:AlternateContent xmlns:mc="http://schemas.openxmlformats.org/markup-compatibility/2006">
      <mc:Choice xmlns:a14="http://schemas.microsoft.com/office/drawing/2010/main" Requires="a14">
        <xdr:graphicFrame macro="">
          <xdr:nvGraphicFramePr>
            <xdr:cNvPr id="10" name="Size">
              <a:extLst>
                <a:ext uri="{FF2B5EF4-FFF2-40B4-BE49-F238E27FC236}">
                  <a16:creationId xmlns:a16="http://schemas.microsoft.com/office/drawing/2014/main" id="{485F08DE-1E79-4E2C-886D-22B5A71AE5A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115675" y="1695451"/>
              <a:ext cx="2393949" cy="911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19050</xdr:colOff>
      <xdr:row>9</xdr:row>
      <xdr:rowOff>171450</xdr:rowOff>
    </xdr:from>
    <xdr:to>
      <xdr:col>25</xdr:col>
      <xdr:colOff>577851</xdr:colOff>
      <xdr:row>15</xdr:row>
      <xdr:rowOff>9525</xdr:rowOff>
    </xdr:to>
    <mc:AlternateContent xmlns:mc="http://schemas.openxmlformats.org/markup-compatibility/2006">
      <mc:Choice xmlns:a14="http://schemas.microsoft.com/office/drawing/2010/main" Requires="a14">
        <xdr:graphicFrame macro="">
          <xdr:nvGraphicFramePr>
            <xdr:cNvPr id="11" name="Loyalty Card">
              <a:extLst>
                <a:ext uri="{FF2B5EF4-FFF2-40B4-BE49-F238E27FC236}">
                  <a16:creationId xmlns:a16="http://schemas.microsoft.com/office/drawing/2014/main" id="{1E87AA77-79DD-461F-9659-6F5F5813BBB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544550" y="1685925"/>
              <a:ext cx="1781176" cy="92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xdr:colOff>
      <xdr:row>6</xdr:row>
      <xdr:rowOff>6352</xdr:rowOff>
    </xdr:from>
    <xdr:to>
      <xdr:col>25</xdr:col>
      <xdr:colOff>584197</xdr:colOff>
      <xdr:row>9</xdr:row>
      <xdr:rowOff>149226</xdr:rowOff>
    </xdr:to>
    <mc:AlternateContent xmlns:mc="http://schemas.openxmlformats.org/markup-compatibility/2006">
      <mc:Choice xmlns:a14="http://schemas.microsoft.com/office/drawing/2010/main" Requires="a14">
        <xdr:graphicFrame macro="">
          <xdr:nvGraphicFramePr>
            <xdr:cNvPr id="12" name="Roast Type Name">
              <a:extLst>
                <a:ext uri="{FF2B5EF4-FFF2-40B4-BE49-F238E27FC236}">
                  <a16:creationId xmlns:a16="http://schemas.microsoft.com/office/drawing/2014/main" id="{B98DD818-EE4F-4A49-B7F6-7D7819B1EFE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106150" y="981077"/>
              <a:ext cx="4219572" cy="682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323851</xdr:colOff>
      <xdr:row>15</xdr:row>
      <xdr:rowOff>28575</xdr:rowOff>
    </xdr:from>
    <xdr:to>
      <xdr:col>25</xdr:col>
      <xdr:colOff>590550</xdr:colOff>
      <xdr:row>26</xdr:row>
      <xdr:rowOff>15875</xdr:rowOff>
    </xdr:to>
    <xdr:graphicFrame macro="">
      <xdr:nvGraphicFramePr>
        <xdr:cNvPr id="13" name="Chart 12">
          <a:extLst>
            <a:ext uri="{FF2B5EF4-FFF2-40B4-BE49-F238E27FC236}">
              <a16:creationId xmlns:a16="http://schemas.microsoft.com/office/drawing/2014/main" id="{F2DD448D-7115-4EC7-9CD3-876602724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330200</xdr:colOff>
      <xdr:row>26</xdr:row>
      <xdr:rowOff>57150</xdr:rowOff>
    </xdr:from>
    <xdr:to>
      <xdr:col>25</xdr:col>
      <xdr:colOff>600075</xdr:colOff>
      <xdr:row>41</xdr:row>
      <xdr:rowOff>152400</xdr:rowOff>
    </xdr:to>
    <xdr:graphicFrame macro="">
      <xdr:nvGraphicFramePr>
        <xdr:cNvPr id="14" name="Chart 13">
          <a:extLst>
            <a:ext uri="{FF2B5EF4-FFF2-40B4-BE49-F238E27FC236}">
              <a16:creationId xmlns:a16="http://schemas.microsoft.com/office/drawing/2014/main" id="{57866318-99EA-4A19-9E20-1B649BA12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in Bisht" refreshedDate="46170.710832870369" createdVersion="8" refreshedVersion="8" minRefreshableVersion="3" recordCount="1000" xr:uid="{8498AA47-03B2-42AD-B0CD-C2E98DFE3038}">
  <cacheSource type="worksheet">
    <worksheetSource name="Orders"/>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8">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7520629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099480-8766-4CC9-B559-B19AD36B1AB2}" name="Total 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22" firstHeaderRow="1" firstDataRow="2" firstDataCol="2"/>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axis="axisCol" compact="0" outline="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18">
    <i>
      <x v="1"/>
      <x v="5"/>
    </i>
    <i r="1">
      <x v="6"/>
    </i>
    <i r="1">
      <x v="7"/>
    </i>
    <i r="1">
      <x v="8"/>
    </i>
    <i r="1">
      <x v="9"/>
    </i>
    <i r="1">
      <x v="10"/>
    </i>
    <i r="1">
      <x v="11"/>
    </i>
    <i r="1">
      <x v="12"/>
    </i>
    <i>
      <x v="2"/>
      <x v="1"/>
    </i>
    <i r="1">
      <x v="2"/>
    </i>
    <i r="1">
      <x v="3"/>
    </i>
    <i r="1">
      <x v="4"/>
    </i>
    <i r="1">
      <x v="5"/>
    </i>
    <i r="1">
      <x v="6"/>
    </i>
    <i r="1">
      <x v="7"/>
    </i>
    <i r="1">
      <x v="8"/>
    </i>
    <i r="1">
      <x v="9"/>
    </i>
    <i r="1">
      <x v="10"/>
    </i>
  </rowItems>
  <colFields count="1">
    <field x="13"/>
  </colFields>
  <colItems count="4">
    <i>
      <x/>
    </i>
    <i>
      <x v="1"/>
    </i>
    <i>
      <x v="2"/>
    </i>
    <i>
      <x v="3"/>
    </i>
  </colItems>
  <dataFields count="1">
    <dataField name="Sum of Sales" fld="12" baseField="15" baseItem="2" numFmtId="1"/>
  </dataFields>
  <chartFormats count="11">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pivotArea type="data" outline="0" fieldPosition="0">
        <references count="4">
          <reference field="4294967294" count="1" selected="0">
            <x v="0"/>
          </reference>
          <reference field="13" count="1" selected="0">
            <x v="1"/>
          </reference>
          <reference field="16" count="1" selected="0">
            <x v="4"/>
          </reference>
          <reference field="17" count="1" selected="0">
            <x v="1"/>
          </reference>
        </references>
      </pivotArea>
    </chartFormat>
    <chartFormat chart="1" format="5">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 chart="8" format="11" series="1">
      <pivotArea type="data" outline="0" fieldPosition="0">
        <references count="2">
          <reference field="4294967294" count="1" selected="0">
            <x v="0"/>
          </reference>
          <reference field="13" count="1" selected="0">
            <x v="0"/>
          </reference>
        </references>
      </pivotArea>
    </chartFormat>
    <chartFormat chart="8" format="12">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 chart="8" format="13" series="1">
      <pivotArea type="data" outline="0" fieldPosition="0">
        <references count="2">
          <reference field="4294967294" count="1" selected="0">
            <x v="0"/>
          </reference>
          <reference field="13" count="1" selected="0">
            <x v="1"/>
          </reference>
        </references>
      </pivotArea>
    </chartFormat>
    <chartFormat chart="8" format="14" series="1">
      <pivotArea type="data" outline="0" fieldPosition="0">
        <references count="2">
          <reference field="4294967294" count="1" selected="0">
            <x v="0"/>
          </reference>
          <reference field="13" count="1" selected="0">
            <x v="2"/>
          </reference>
        </references>
      </pivotArea>
    </chartFormat>
    <chartFormat chart="8"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50" name="Order Date">
      <autoFilter ref="A1">
        <filterColumn colId="0">
          <customFilters and="1">
            <customFilter operator="greaterThanOrEqual" val="43586"/>
            <customFilter operator="lessThanOrEqual" val="441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D4086E-981F-4B73-BD23-CF3432E84323}" name="Total 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6"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71"/>
  </dataFields>
  <formats count="1">
    <format dxfId="39">
      <pivotArea outline="0" collapsedLevelsAreSubtotals="1" fieldPosition="0"/>
    </format>
  </formats>
  <chartFormats count="7">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2"/>
          </reference>
        </references>
      </pivotArea>
    </chartFormat>
    <chartFormat chart="9" format="2">
      <pivotArea type="data" outline="0" fieldPosition="0">
        <references count="2">
          <reference field="4294967294" count="1" selected="0">
            <x v="0"/>
          </reference>
          <reference field="7" count="1" selected="0">
            <x v="0"/>
          </reference>
        </references>
      </pivotArea>
    </chartFormat>
    <chartFormat chart="9" format="3">
      <pivotArea type="data" outline="0" fieldPosition="0">
        <references count="2">
          <reference field="4294967294" count="1" selected="0">
            <x v="0"/>
          </reference>
          <reference field="7" count="1" selected="0">
            <x v="1"/>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7" count="1" selected="0">
            <x v="1"/>
          </reference>
        </references>
      </pivotArea>
    </chartFormat>
    <chartFormat chart="13" format="9">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filters count="1">
    <filter fld="1" type="dateBetween" evalOrder="-1" id="50" name="Order Date">
      <autoFilter ref="A1">
        <filterColumn colId="0">
          <customFilters and="1">
            <customFilter operator="greaterThanOrEqual" val="43586"/>
            <customFilter operator="lessThanOrEqual" val="441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085217-9523-46EE-B945-30119D2ACF89}" name="Total 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11"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8">
    <i>
      <x v="289"/>
    </i>
    <i>
      <x v="218"/>
    </i>
    <i>
      <x v="785"/>
    </i>
    <i>
      <x v="639"/>
    </i>
    <i>
      <x v="831"/>
    </i>
    <i>
      <x v="255"/>
    </i>
    <i>
      <x v="28"/>
    </i>
    <i>
      <x v="126"/>
    </i>
  </rowItems>
  <colItems count="1">
    <i/>
  </colItems>
  <dataFields count="1">
    <dataField name="Sum of Sales" fld="12" baseField="0" baseItem="0" numFmtId="171"/>
  </dataFields>
  <formats count="1">
    <format dxfId="38">
      <pivotArea outline="0" collapsedLevelsAreSubtotals="1" fieldPosition="0"/>
    </format>
  </formats>
  <chartFormats count="6">
    <chartFormat chart="6" format="1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51" name="Order Date">
      <autoFilter ref="A1">
        <filterColumn colId="0">
          <customFilters and="1">
            <customFilter operator="greaterThanOrEqual" val="43586"/>
            <customFilter operator="lessThanOrEqual" val="44135"/>
          </customFilters>
        </filterColumn>
      </autoFilter>
      <extLst>
        <ext xmlns:x15="http://schemas.microsoft.com/office/spreadsheetml/2010/11/main" uri="{0605FD5F-26C8-4aeb-8148-2DB25E43C511}">
          <x15:pivotFilter useWholeDay="1"/>
        </ext>
      </extLst>
    </filter>
    <filter fld="5" type="count" evalOrder="-1" id="3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779D0C7-4883-437A-9E51-AB755E7946DE}" sourceName="Size">
  <pivotTables>
    <pivotTable tabId="18" name="Total Sales"/>
    <pivotTable tabId="19" name="Total Sales"/>
    <pivotTable tabId="20" name="Total Sales"/>
  </pivotTables>
  <data>
    <tabular pivotCacheId="75206296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A614AF4-D605-4619-81D2-EED367A88820}" sourceName="Loyalty Card">
  <pivotTables>
    <pivotTable tabId="18" name="Total Sales"/>
    <pivotTable tabId="19" name="Total Sales"/>
    <pivotTable tabId="20" name="Total Sales"/>
  </pivotTables>
  <data>
    <tabular pivotCacheId="75206296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608319B-0C2A-49BD-A071-68035B91BB16}" sourceName="Roast Type Name">
  <pivotTables>
    <pivotTable tabId="18" name="Total Sales"/>
    <pivotTable tabId="19" name="Total Sales"/>
    <pivotTable tabId="20" name="Total Sales"/>
  </pivotTables>
  <data>
    <tabular pivotCacheId="75206296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C4649371-E485-440C-8664-AE47367A6F76}" cache="Slicer_Size" caption="Size" columnCount="2" rowHeight="241300"/>
  <slicer name="Loyalty Card" xr10:uid="{B0785FCE-2B4D-4ADB-872D-F7C1A81318DB}" cache="Slicer_Loyalty_Card" caption="Loyalty Card" rowHeight="241300"/>
  <slicer name="Roast Type Name" xr10:uid="{7543E3C8-B138-4C04-B46F-4D030CE52D51}" cache="Slicer_Roast_Type_Name" caption="Roast Type Name"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C5A573-6B0A-4FA6-8167-B156E485F312}" name="Orders" displayName="Orders" ref="A1:P1001" totalsRowShown="0" headerRowDxfId="45">
  <autoFilter ref="A1:P1001" xr:uid="{FEC5A573-6B0A-4FA6-8167-B156E485F312}"/>
  <tableColumns count="16">
    <tableColumn id="1" xr3:uid="{866F2CAA-3547-4EB4-BBF9-B9B39C465336}" name="Order ID" dataDxfId="55"/>
    <tableColumn id="2" xr3:uid="{B5E865B1-E573-4FB8-986B-259934D09BF5}" name="Order Date" dataDxfId="54"/>
    <tableColumn id="3" xr3:uid="{E4FF4263-4876-4B27-83E0-A8F7034D4ADB}" name="Customer ID" dataDxfId="53"/>
    <tableColumn id="4" xr3:uid="{F801E07A-D9C8-4542-8779-77B1B51AA9A4}" name="Product ID"/>
    <tableColumn id="5" xr3:uid="{D48DF57E-7697-404B-825D-566CCFA05FEC}" name="Quantity" dataDxfId="52"/>
    <tableColumn id="6" xr3:uid="{55C1EE60-4E25-444C-A6C6-90D4E4476F7F}" name="Customer Name" dataDxfId="51">
      <calculatedColumnFormula>_xlfn.XLOOKUP(C2,customers!$A$1:$A$1001,customers!$B$1:$B$1001,0,0)</calculatedColumnFormula>
    </tableColumn>
    <tableColumn id="7" xr3:uid="{432902F4-0C9B-43DC-A66B-B9DA3D96EAEA}" name="Email" dataDxfId="50">
      <calculatedColumnFormula>IF(_xlfn.XLOOKUP(C2,customers!$A$1:$A$1001,customers!$C$1:$C$1001,,0)=0,"",_xlfn.XLOOKUP(C2,customers!$A$1:$A$1001,customers!$C$1:$C$1001,,0))</calculatedColumnFormula>
    </tableColumn>
    <tableColumn id="8" xr3:uid="{50E6AD4E-973D-4376-B9A9-A82856E3A56E}" name="Country" dataDxfId="49">
      <calculatedColumnFormula>_xlfn.XLOOKUP(C2,customers!$A$1:$A$1001,customers!$G$1:$G$1001,,0)</calculatedColumnFormula>
    </tableColumn>
    <tableColumn id="9" xr3:uid="{085A34C3-D515-434C-BF36-8144B05755B2}" name="Coffee Type">
      <calculatedColumnFormula>INDEX(products!$A$1:$G$49,MATCH(orders!$D2,products!$A$1:$A$49,0),MATCH(orders!I$1,products!$A$1:$G$1,0))</calculatedColumnFormula>
    </tableColumn>
    <tableColumn id="10" xr3:uid="{DCECDDFC-5325-411A-A1CF-8AF7C834C40F}" name="Roast Type">
      <calculatedColumnFormula>INDEX(products!$A$1:$G$49,MATCH(orders!$D2,products!$A$1:$A$49,0),MATCH(orders!J$1,products!$A$1:$G$1,0))</calculatedColumnFormula>
    </tableColumn>
    <tableColumn id="11" xr3:uid="{467A222A-EA07-474A-9489-C964CEF55121}" name="Size" dataDxfId="48">
      <calculatedColumnFormula>INDEX(products!$A$1:$G$49,MATCH(orders!$D2,products!$A$1:$A$49,0),MATCH(orders!K$1,products!$A$1:$G$1,0))</calculatedColumnFormula>
    </tableColumn>
    <tableColumn id="12" xr3:uid="{58A96162-A358-4795-AF7C-674C7072078C}" name="Unit Price" dataDxfId="47">
      <calculatedColumnFormula>INDEX(products!$A$1:$G$49,MATCH(orders!$D2,products!$A$1:$A$49,0),MATCH(orders!L$1,products!$A$1:$G$1,0))</calculatedColumnFormula>
    </tableColumn>
    <tableColumn id="13" xr3:uid="{D8285AE9-1988-495F-A87F-63BE78D260D9}" name="Sales" dataDxfId="46">
      <calculatedColumnFormula>L2*E2</calculatedColumnFormula>
    </tableColumn>
    <tableColumn id="14" xr3:uid="{6B7F2D13-8552-42EC-8481-B98F1D88F62A}" name="Coffee Type Name">
      <calculatedColumnFormula>IF(I2="Rob","Robusta",IF(I2="Exc","Excelsa",IF(I2="Ara","Arabica",IF(I2="Lib","Liberica",""))))</calculatedColumnFormula>
    </tableColumn>
    <tableColumn id="15" xr3:uid="{5DF34A00-F2CB-4172-9A0B-4C79E406BB72}" name="Roast Type Name">
      <calculatedColumnFormula>IF(J2="M","Medium",IF(J2="L","Light",IF(J2="D","Dark")))</calculatedColumnFormula>
    </tableColumn>
    <tableColumn id="16" xr3:uid="{E6685FE3-D1A8-4CE1-9A10-483B4593F5E9}" name="Loyalty Card" dataDxfId="42">
      <calculatedColumnFormula>_xlfn.XLOOKUP(Orders[[#This Row],[Customer ID]],customers!$A$1:$A$1001,customers!$I$1:$I$1001,,0)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9F7D4CC-859E-4F56-97A4-FFA5E76F01AC}" sourceName="Order Date">
  <pivotTables>
    <pivotTable tabId="18" name="Total Sales"/>
    <pivotTable tabId="19" name="Total Sales"/>
    <pivotTable tabId="20" name="Total Sales"/>
  </pivotTables>
  <state minimalRefreshVersion="6" lastRefreshVersion="6" pivotCacheId="752062967" filterType="dateBetween">
    <selection startDate="2019-05-01T00:00:00" endDate="2020-10-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D313E90-F3DF-48E0-97C2-E14C0C93503A}" cache="NativeTimeline_Order_Date" caption="Order Date" level="2" selectionLevel="2" scrollPosition="2019-01-01T00:00:00" style="Green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59911-E801-4165-9DCC-D1A9474192BE}">
  <dimension ref="A3:F22"/>
  <sheetViews>
    <sheetView workbookViewId="0">
      <selection activeCell="X22" sqref="X22"/>
    </sheetView>
  </sheetViews>
  <sheetFormatPr defaultRowHeight="14.5" x14ac:dyDescent="0.35"/>
  <cols>
    <col min="1" max="1" width="12.6328125" bestFit="1" customWidth="1"/>
    <col min="2" max="2" width="21.08984375" bestFit="1" customWidth="1"/>
    <col min="3" max="3" width="19.1796875" bestFit="1" customWidth="1"/>
    <col min="4" max="4" width="7.08984375" bestFit="1" customWidth="1"/>
    <col min="5" max="5" width="7.453125" bestFit="1" customWidth="1"/>
    <col min="6" max="6" width="7.7265625" bestFit="1" customWidth="1"/>
  </cols>
  <sheetData>
    <row r="3" spans="1:6" x14ac:dyDescent="0.35">
      <c r="A3" s="6" t="s">
        <v>6217</v>
      </c>
      <c r="C3" s="6" t="s">
        <v>6196</v>
      </c>
    </row>
    <row r="4" spans="1:6" x14ac:dyDescent="0.35">
      <c r="A4" s="6" t="s">
        <v>6211</v>
      </c>
      <c r="B4" s="6" t="s">
        <v>6212</v>
      </c>
      <c r="C4" t="s">
        <v>6213</v>
      </c>
      <c r="D4" t="s">
        <v>6214</v>
      </c>
      <c r="E4" t="s">
        <v>6215</v>
      </c>
      <c r="F4" t="s">
        <v>6216</v>
      </c>
    </row>
    <row r="5" spans="1:6" x14ac:dyDescent="0.35">
      <c r="A5" t="s">
        <v>6197</v>
      </c>
      <c r="B5" t="s">
        <v>6203</v>
      </c>
      <c r="C5" s="7">
        <v>53.664999999999992</v>
      </c>
      <c r="D5" s="7">
        <v>83.025000000000006</v>
      </c>
      <c r="E5" s="7">
        <v>193.83499999999998</v>
      </c>
      <c r="F5" s="7">
        <v>68.039999999999992</v>
      </c>
    </row>
    <row r="6" spans="1:6" x14ac:dyDescent="0.35">
      <c r="B6" t="s">
        <v>6204</v>
      </c>
      <c r="C6" s="7">
        <v>163.01999999999998</v>
      </c>
      <c r="D6" s="7">
        <v>678.3599999999999</v>
      </c>
      <c r="E6" s="7">
        <v>171.04499999999999</v>
      </c>
      <c r="F6" s="7">
        <v>372.255</v>
      </c>
    </row>
    <row r="7" spans="1:6" x14ac:dyDescent="0.35">
      <c r="B7" t="s">
        <v>6205</v>
      </c>
      <c r="C7" s="7">
        <v>345.02</v>
      </c>
      <c r="D7" s="7">
        <v>273.86999999999995</v>
      </c>
      <c r="E7" s="7">
        <v>184.13</v>
      </c>
      <c r="F7" s="7">
        <v>201.11499999999998</v>
      </c>
    </row>
    <row r="8" spans="1:6" x14ac:dyDescent="0.35">
      <c r="B8" t="s">
        <v>6206</v>
      </c>
      <c r="C8" s="7">
        <v>334.89</v>
      </c>
      <c r="D8" s="7">
        <v>70.95</v>
      </c>
      <c r="E8" s="7">
        <v>134.23000000000002</v>
      </c>
      <c r="F8" s="7">
        <v>166.27499999999998</v>
      </c>
    </row>
    <row r="9" spans="1:6" x14ac:dyDescent="0.35">
      <c r="B9" t="s">
        <v>6207</v>
      </c>
      <c r="C9" s="7">
        <v>178.70999999999998</v>
      </c>
      <c r="D9" s="7">
        <v>166.1</v>
      </c>
      <c r="E9" s="7">
        <v>439.30999999999995</v>
      </c>
      <c r="F9" s="7">
        <v>492.89999999999992</v>
      </c>
    </row>
    <row r="10" spans="1:6" x14ac:dyDescent="0.35">
      <c r="B10" t="s">
        <v>6208</v>
      </c>
      <c r="C10" s="7">
        <v>301.98499999999996</v>
      </c>
      <c r="D10" s="7">
        <v>153.76499999999999</v>
      </c>
      <c r="E10" s="7">
        <v>215.55499999999998</v>
      </c>
      <c r="F10" s="7">
        <v>213.66499999999999</v>
      </c>
    </row>
    <row r="11" spans="1:6" x14ac:dyDescent="0.35">
      <c r="B11" t="s">
        <v>6209</v>
      </c>
      <c r="C11" s="7">
        <v>312.83499999999998</v>
      </c>
      <c r="D11" s="7">
        <v>63.249999999999993</v>
      </c>
      <c r="E11" s="7">
        <v>350.89499999999998</v>
      </c>
      <c r="F11" s="7">
        <v>96.404999999999987</v>
      </c>
    </row>
    <row r="12" spans="1:6" x14ac:dyDescent="0.35">
      <c r="B12" t="s">
        <v>6210</v>
      </c>
      <c r="C12" s="7">
        <v>265.62</v>
      </c>
      <c r="D12" s="7">
        <v>526.51499999999987</v>
      </c>
      <c r="E12" s="7">
        <v>187.05999999999997</v>
      </c>
      <c r="F12" s="7">
        <v>210.58999999999997</v>
      </c>
    </row>
    <row r="13" spans="1:6" x14ac:dyDescent="0.35">
      <c r="A13" t="s">
        <v>6198</v>
      </c>
      <c r="B13" t="s">
        <v>6199</v>
      </c>
      <c r="C13" s="7">
        <v>47.25</v>
      </c>
      <c r="D13" s="7">
        <v>65.805000000000007</v>
      </c>
      <c r="E13" s="7">
        <v>274.67500000000001</v>
      </c>
      <c r="F13" s="7">
        <v>179.21999999999997</v>
      </c>
    </row>
    <row r="14" spans="1:6" x14ac:dyDescent="0.35">
      <c r="B14" t="s">
        <v>6200</v>
      </c>
      <c r="C14" s="7">
        <v>745.44999999999993</v>
      </c>
      <c r="D14" s="7">
        <v>428.88499999999999</v>
      </c>
      <c r="E14" s="7">
        <v>194.17500000000001</v>
      </c>
      <c r="F14" s="7">
        <v>429.83</v>
      </c>
    </row>
    <row r="15" spans="1:6" x14ac:dyDescent="0.35">
      <c r="B15" t="s">
        <v>6201</v>
      </c>
      <c r="C15" s="7">
        <v>130.47</v>
      </c>
      <c r="D15" s="7">
        <v>271.48500000000001</v>
      </c>
      <c r="E15" s="7">
        <v>281.20499999999998</v>
      </c>
      <c r="F15" s="7">
        <v>231.63</v>
      </c>
    </row>
    <row r="16" spans="1:6" x14ac:dyDescent="0.35">
      <c r="B16" t="s">
        <v>6202</v>
      </c>
      <c r="C16" s="7">
        <v>27</v>
      </c>
      <c r="D16" s="7">
        <v>347.26</v>
      </c>
      <c r="E16" s="7">
        <v>147.51000000000002</v>
      </c>
      <c r="F16" s="7">
        <v>240.04</v>
      </c>
    </row>
    <row r="17" spans="2:6" x14ac:dyDescent="0.35">
      <c r="B17" t="s">
        <v>6203</v>
      </c>
      <c r="C17" s="7">
        <v>255.11499999999995</v>
      </c>
      <c r="D17" s="7">
        <v>541.73</v>
      </c>
      <c r="E17" s="7">
        <v>83.429999999999993</v>
      </c>
      <c r="F17" s="7">
        <v>59.079999999999991</v>
      </c>
    </row>
    <row r="18" spans="2:6" x14ac:dyDescent="0.35">
      <c r="B18" t="s">
        <v>6204</v>
      </c>
      <c r="C18" s="7">
        <v>584.79</v>
      </c>
      <c r="D18" s="7">
        <v>357.42999999999989</v>
      </c>
      <c r="E18" s="7">
        <v>355.34</v>
      </c>
      <c r="F18" s="7">
        <v>140.87999999999997</v>
      </c>
    </row>
    <row r="19" spans="2:6" x14ac:dyDescent="0.35">
      <c r="B19" t="s">
        <v>6205</v>
      </c>
      <c r="C19" s="7">
        <v>430.61999999999995</v>
      </c>
      <c r="D19" s="7">
        <v>227.42500000000001</v>
      </c>
      <c r="E19" s="7">
        <v>236.315</v>
      </c>
      <c r="F19" s="7">
        <v>414.58499999999998</v>
      </c>
    </row>
    <row r="20" spans="2:6" x14ac:dyDescent="0.35">
      <c r="B20" t="s">
        <v>6206</v>
      </c>
      <c r="C20" s="7">
        <v>22.5</v>
      </c>
      <c r="D20" s="7">
        <v>77.72</v>
      </c>
      <c r="E20" s="7">
        <v>60.5</v>
      </c>
      <c r="F20" s="7">
        <v>139.67999999999998</v>
      </c>
    </row>
    <row r="21" spans="2:6" x14ac:dyDescent="0.35">
      <c r="B21" t="s">
        <v>6207</v>
      </c>
      <c r="C21" s="7">
        <v>126.14999999999999</v>
      </c>
      <c r="D21" s="7">
        <v>195.11</v>
      </c>
      <c r="E21" s="7">
        <v>89.13</v>
      </c>
      <c r="F21" s="7">
        <v>302.65999999999997</v>
      </c>
    </row>
    <row r="22" spans="2:6" x14ac:dyDescent="0.35">
      <c r="B22" t="s">
        <v>6208</v>
      </c>
      <c r="C22" s="7">
        <v>376.03</v>
      </c>
      <c r="D22" s="7">
        <v>523.24</v>
      </c>
      <c r="E22" s="7">
        <v>440.96499999999992</v>
      </c>
      <c r="F22" s="7">
        <v>174.46999999999997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EBF9B-D795-4B56-801E-C0C3B34FC630}">
  <dimension ref="A1"/>
  <sheetViews>
    <sheetView showGridLines="0" showRowColHeaders="0" tabSelected="1" workbookViewId="0">
      <selection activeCell="O48" sqref="O48"/>
    </sheetView>
  </sheetViews>
  <sheetFormatPr defaultRowHeight="14.5" x14ac:dyDescent="0.35"/>
  <cols>
    <col min="1" max="1" width="1.63281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6B11F-967A-41CB-B5C0-A70F919081E0}">
  <dimension ref="A3:B6"/>
  <sheetViews>
    <sheetView workbookViewId="0">
      <selection activeCell="N20" sqref="N20"/>
    </sheetView>
  </sheetViews>
  <sheetFormatPr defaultRowHeight="14.5" x14ac:dyDescent="0.35"/>
  <cols>
    <col min="1" max="1" width="14.7265625" bestFit="1" customWidth="1"/>
    <col min="2" max="2" width="11.54296875" bestFit="1" customWidth="1"/>
    <col min="3" max="3" width="19.1796875" bestFit="1" customWidth="1"/>
    <col min="4" max="4" width="7.08984375" bestFit="1" customWidth="1"/>
    <col min="5" max="5" width="7.453125" bestFit="1" customWidth="1"/>
    <col min="6" max="6" width="7.7265625" bestFit="1" customWidth="1"/>
  </cols>
  <sheetData>
    <row r="3" spans="1:2" x14ac:dyDescent="0.35">
      <c r="A3" s="6" t="s">
        <v>7</v>
      </c>
      <c r="B3" t="s">
        <v>6217</v>
      </c>
    </row>
    <row r="4" spans="1:2" x14ac:dyDescent="0.35">
      <c r="A4" t="s">
        <v>28</v>
      </c>
      <c r="B4" s="8">
        <v>1380.4599999999998</v>
      </c>
    </row>
    <row r="5" spans="1:2" x14ac:dyDescent="0.35">
      <c r="A5" t="s">
        <v>318</v>
      </c>
      <c r="B5" s="8">
        <v>2509.5150000000008</v>
      </c>
    </row>
    <row r="6" spans="1:2" x14ac:dyDescent="0.35">
      <c r="A6" t="s">
        <v>19</v>
      </c>
      <c r="B6" s="8">
        <v>14035.694999999991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BB797-2D7D-4D25-96AE-BD087377EDC5}">
  <dimension ref="A3:B11"/>
  <sheetViews>
    <sheetView workbookViewId="0">
      <selection activeCell="O33" sqref="O33"/>
    </sheetView>
  </sheetViews>
  <sheetFormatPr defaultRowHeight="14.5" x14ac:dyDescent="0.35"/>
  <cols>
    <col min="1" max="1" width="17" bestFit="1" customWidth="1"/>
    <col min="2" max="3" width="11.54296875" bestFit="1" customWidth="1"/>
    <col min="4" max="4" width="7.08984375" bestFit="1" customWidth="1"/>
    <col min="5" max="5" width="7.453125" bestFit="1" customWidth="1"/>
    <col min="6" max="6" width="7.7265625" bestFit="1" customWidth="1"/>
  </cols>
  <sheetData>
    <row r="3" spans="1:2" x14ac:dyDescent="0.35">
      <c r="A3" s="6" t="s">
        <v>4</v>
      </c>
      <c r="B3" t="s">
        <v>6217</v>
      </c>
    </row>
    <row r="4" spans="1:2" x14ac:dyDescent="0.35">
      <c r="A4" t="s">
        <v>1472</v>
      </c>
      <c r="B4" s="8">
        <v>204.92999999999995</v>
      </c>
    </row>
    <row r="5" spans="1:2" x14ac:dyDescent="0.35">
      <c r="A5" t="s">
        <v>3820</v>
      </c>
      <c r="B5" s="8">
        <v>204.92999999999995</v>
      </c>
    </row>
    <row r="6" spans="1:2" x14ac:dyDescent="0.35">
      <c r="A6" t="s">
        <v>2454</v>
      </c>
      <c r="B6" s="8">
        <v>204.92999999999995</v>
      </c>
    </row>
    <row r="7" spans="1:2" x14ac:dyDescent="0.35">
      <c r="A7" t="s">
        <v>2275</v>
      </c>
      <c r="B7" s="8">
        <v>204.92999999999995</v>
      </c>
    </row>
    <row r="8" spans="1:2" x14ac:dyDescent="0.35">
      <c r="A8" t="s">
        <v>2587</v>
      </c>
      <c r="B8" s="8">
        <v>211.40999999999997</v>
      </c>
    </row>
    <row r="9" spans="1:2" x14ac:dyDescent="0.35">
      <c r="A9" t="s">
        <v>3753</v>
      </c>
      <c r="B9" s="8">
        <v>219.81</v>
      </c>
    </row>
    <row r="10" spans="1:2" x14ac:dyDescent="0.35">
      <c r="A10" t="s">
        <v>5114</v>
      </c>
      <c r="B10" s="8">
        <v>237.81999999999996</v>
      </c>
    </row>
    <row r="11" spans="1:2" x14ac:dyDescent="0.35">
      <c r="A11" t="s">
        <v>5075</v>
      </c>
      <c r="B11" s="8">
        <v>246.20999999999998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O2" sqref="O2"/>
    </sheetView>
  </sheetViews>
  <sheetFormatPr defaultRowHeight="14.5" x14ac:dyDescent="0.35"/>
  <cols>
    <col min="1" max="1" width="16.54296875" bestFit="1" customWidth="1"/>
    <col min="2" max="2" width="12.36328125" bestFit="1" customWidth="1"/>
    <col min="3" max="3" width="17.453125" bestFit="1" customWidth="1"/>
    <col min="4" max="4" width="11.36328125" customWidth="1"/>
    <col min="5" max="5" width="9.81640625" customWidth="1"/>
    <col min="6" max="6" width="22.36328125" bestFit="1" customWidth="1"/>
    <col min="7" max="7" width="36.36328125" bestFit="1" customWidth="1"/>
    <col min="8" max="8" width="14.54296875" bestFit="1" customWidth="1"/>
    <col min="9" max="9" width="12.453125" customWidth="1"/>
    <col min="10" max="10" width="11.7265625" customWidth="1"/>
    <col min="11" max="11" width="5.90625" customWidth="1"/>
    <col min="12" max="12" width="10.6328125" customWidth="1"/>
    <col min="13" max="13" width="7.90625" bestFit="1" customWidth="1"/>
    <col min="14" max="14" width="17.90625" customWidth="1"/>
    <col min="15" max="15" width="17.453125" customWidth="1"/>
    <col min="16" max="16" width="13.36328125" bestFit="1" customWidth="1"/>
  </cols>
  <sheetData>
    <row r="1" spans="1:16" x14ac:dyDescent="0.35">
      <c r="A1" s="2" t="s">
        <v>0</v>
      </c>
      <c r="B1" s="3" t="s">
        <v>1</v>
      </c>
      <c r="C1" s="2" t="s">
        <v>3</v>
      </c>
      <c r="D1" s="2" t="s">
        <v>11</v>
      </c>
      <c r="E1" s="2" t="s">
        <v>14</v>
      </c>
      <c r="F1" s="2" t="s">
        <v>4</v>
      </c>
      <c r="G1" s="2" t="s">
        <v>2</v>
      </c>
      <c r="H1" s="2" t="s">
        <v>7</v>
      </c>
      <c r="I1" s="2" t="s">
        <v>9</v>
      </c>
      <c r="J1" s="2" t="s">
        <v>10</v>
      </c>
      <c r="K1" s="2" t="s">
        <v>12</v>
      </c>
      <c r="L1" s="2" t="s">
        <v>13</v>
      </c>
      <c r="M1" s="2" t="s">
        <v>15</v>
      </c>
      <c r="N1" s="2" t="s">
        <v>6196</v>
      </c>
      <c r="O1" s="2" t="s">
        <v>6218</v>
      </c>
      <c r="P1" s="2" t="s">
        <v>6189</v>
      </c>
    </row>
    <row r="2" spans="1:16" x14ac:dyDescent="0.35">
      <c r="A2" s="2" t="s">
        <v>490</v>
      </c>
      <c r="B2" s="3">
        <v>43713</v>
      </c>
      <c r="C2" s="2" t="s">
        <v>491</v>
      </c>
      <c r="D2" t="s">
        <v>6138</v>
      </c>
      <c r="E2" s="2">
        <v>2</v>
      </c>
      <c r="F2" s="2" t="str">
        <f>_xlfn.XLOOKUP(C2,customers!$A$1:$A$1001,customers!$B$1:$B$1001,0,0)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L4*E4</f>
        <v>12.95</v>
      </c>
      <c r="N4" t="str">
        <f t="shared" si="1"/>
        <v>Arabica</v>
      </c>
      <c r="O4" t="str">
        <f t="shared" si="2"/>
        <v>Light</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1"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Dashboard</vt:lpstr>
      <vt:lpstr>Country Bar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Sachin Bisht</dc:creator>
  <cp:keywords/>
  <dc:description/>
  <cp:lastModifiedBy>sachin bisht</cp:lastModifiedBy>
  <cp:revision/>
  <dcterms:created xsi:type="dcterms:W3CDTF">2022-11-26T09:51:45Z</dcterms:created>
  <dcterms:modified xsi:type="dcterms:W3CDTF">2026-05-28T21:49:45Z</dcterms:modified>
  <cp:category/>
  <cp:contentStatus/>
</cp:coreProperties>
</file>